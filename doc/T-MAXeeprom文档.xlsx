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0-512字节" sheetId="1" r:id="rId1"/>
    <sheet name="512字节以后" sheetId="2" r:id="rId2"/>
    <sheet name="Sheet3" sheetId="3" r:id="rId3"/>
  </sheets>
  <definedNames>
    <definedName name="_xlnm._FilterDatabase" localSheetId="0" hidden="1">'0-512字节'!$A$1:$M$226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<sst xmlns="http://schemas.openxmlformats.org/spreadsheetml/2006/main" count="1356" uniqueCount="926">
  <si>
    <t>EEPROM定义_V1.0_20231027</t>
  </si>
  <si>
    <t>页</t>
  </si>
  <si>
    <t>区域</t>
  </si>
  <si>
    <t>区域空间</t>
  </si>
  <si>
    <t>data</t>
  </si>
  <si>
    <t>SIZE #define</t>
  </si>
  <si>
    <t>size</t>
  </si>
  <si>
    <t>ADDR #define</t>
  </si>
  <si>
    <t>HEX address</t>
  </si>
  <si>
    <t>注释</t>
  </si>
  <si>
    <t>address</t>
  </si>
  <si>
    <t>备注</t>
  </si>
  <si>
    <t>第一页</t>
  </si>
  <si>
    <t>1磅台</t>
  </si>
  <si>
    <t>标定点数量</t>
  </si>
  <si>
    <t>#define M_CAL_COUNT_SIZE</t>
  </si>
  <si>
    <t>#define M_CAL_COUNT_ADDR</t>
  </si>
  <si>
    <t>*#*#0x</t>
  </si>
  <si>
    <t>/*标定点数量*/</t>
  </si>
  <si>
    <t>不需要写入</t>
  </si>
  <si>
    <t>零点内码</t>
  </si>
  <si>
    <t>#define M_CAL_0_SIZE</t>
  </si>
  <si>
    <t>#define M_CAL_0_ADDR</t>
  </si>
  <si>
    <t>/*零点内码*/</t>
  </si>
  <si>
    <t>标定点1</t>
  </si>
  <si>
    <t>#define M_CAL_1_SIZE</t>
  </si>
  <si>
    <t>#define M_CAL_1_ADDR</t>
  </si>
  <si>
    <t>/*标定点1*/</t>
  </si>
  <si>
    <t>标定点2</t>
  </si>
  <si>
    <t>#define M_CAL_2_SIZE</t>
  </si>
  <si>
    <t>#define M_CAL_2_ADDR</t>
  </si>
  <si>
    <t>/*标定点2*/</t>
  </si>
  <si>
    <t>标定点3</t>
  </si>
  <si>
    <t>#define M_CAL_3_SIZE</t>
  </si>
  <si>
    <t>#define M_CAL_3_ADDR</t>
  </si>
  <si>
    <t>/*标定点3*/</t>
  </si>
  <si>
    <t>标定点4</t>
  </si>
  <si>
    <t>#define M_CAL_4_SIZE</t>
  </si>
  <si>
    <t>#define M_CAL_4_ADDR</t>
  </si>
  <si>
    <t>/*标定点4*/</t>
  </si>
  <si>
    <t>标定点5</t>
  </si>
  <si>
    <t>#define M_CAL_5_SIZE</t>
  </si>
  <si>
    <t>#define M_CAL_5_ADDR</t>
  </si>
  <si>
    <t>/*标定点5*/</t>
  </si>
  <si>
    <t>标定点6</t>
  </si>
  <si>
    <t>#define M_CAL_6_SIZE</t>
  </si>
  <si>
    <t>#define M_CAL_6_ADDR</t>
  </si>
  <si>
    <t>/*标定点6*/</t>
  </si>
  <si>
    <t>回程零点内码</t>
  </si>
  <si>
    <t>#define M_BACK_CAL_0_SIZE</t>
  </si>
  <si>
    <t>#define M_BACK_CAL_0_ADDR</t>
  </si>
  <si>
    <t>/*回程零点内码*/</t>
  </si>
  <si>
    <t>回程标定点1</t>
  </si>
  <si>
    <t>#define M_BACK_CAL_1_SIZE</t>
  </si>
  <si>
    <t>#define M_BACK_CAL_1_ADDR</t>
  </si>
  <si>
    <t>/*回程标定点1*/</t>
  </si>
  <si>
    <t>回程标定点2</t>
  </si>
  <si>
    <t>#define M_BACK_CAL_2_SIZE</t>
  </si>
  <si>
    <t>#define M_BACK_CAL_2_ADDR</t>
  </si>
  <si>
    <t>/*回程标定点2*/</t>
  </si>
  <si>
    <t>回程标定点3</t>
  </si>
  <si>
    <t>#define M_BACK_CAL_3_SIZE</t>
  </si>
  <si>
    <t>#define M_BACK_CAL_3_ADDR</t>
  </si>
  <si>
    <t>/*回程标定点3*/</t>
  </si>
  <si>
    <t>回程标定点4</t>
  </si>
  <si>
    <t>#define M_BACK_CAL_4_SIZE</t>
  </si>
  <si>
    <t>#define M_BACK_CAL_4_ADDR</t>
  </si>
  <si>
    <t>/*回程标定点4*/</t>
  </si>
  <si>
    <t>回程标定点5</t>
  </si>
  <si>
    <t>#define M_BACK_CAL_5_SIZE</t>
  </si>
  <si>
    <t>#define M_BACK_CAL_5_ADDR</t>
  </si>
  <si>
    <t>/*回程标定点5*/</t>
  </si>
  <si>
    <t>回程标定点6</t>
  </si>
  <si>
    <t>#define M_BACK_CAL_6_SIZE</t>
  </si>
  <si>
    <t>#define M_BACK_CAL_6_ADDR</t>
  </si>
  <si>
    <t>/*回程标定点6*/</t>
  </si>
  <si>
    <t>内置砝码内码差</t>
  </si>
  <si>
    <t>#define M_INCAL_DIFF_SIZE</t>
  </si>
  <si>
    <t>#define M_INCAL_DIFF_ADDR</t>
  </si>
  <si>
    <t>/*内置砝码内码差*/</t>
  </si>
  <si>
    <t>量程1</t>
  </si>
  <si>
    <t>#define M_CAPACITY_1_SIZE</t>
  </si>
  <si>
    <t>#define M_CAPACITY_1_ADDR</t>
  </si>
  <si>
    <t>/*量程1*/</t>
  </si>
  <si>
    <t>所有机种需要写入</t>
  </si>
  <si>
    <t>最好秤上手动设置</t>
  </si>
  <si>
    <t>量程2</t>
  </si>
  <si>
    <t>#define M_CAPACITY_2_SIZE</t>
  </si>
  <si>
    <t>#define M_CAPACITY_2_ADDR</t>
  </si>
  <si>
    <t>/*量程2*/</t>
  </si>
  <si>
    <t>分度值1</t>
  </si>
  <si>
    <t>#define M_RESOLATION_1_SIZE</t>
  </si>
  <si>
    <t>#define M_RESOLATION_1_ADDR</t>
  </si>
  <si>
    <t>/*分度值1*/</t>
  </si>
  <si>
    <t>分度值2</t>
  </si>
  <si>
    <t>#define M_RESOLATION_2_SIZE</t>
  </si>
  <si>
    <t>#define M_RESOLATION_2_ADDR</t>
  </si>
  <si>
    <t>/*分度值2*/</t>
  </si>
  <si>
    <t>默认单位</t>
  </si>
  <si>
    <t>#define M_DEF_UNIT_SIZE</t>
  </si>
  <si>
    <t>#define M_DEF_UNIT_ADDR</t>
  </si>
  <si>
    <t>/*默认单位*/</t>
  </si>
  <si>
    <r>
      <rPr>
        <sz val="10"/>
        <color theme="1"/>
        <rFont val="微软雅黑"/>
        <charset val="134"/>
      </rPr>
      <t>存储上次关机单位的编号</t>
    </r>
    <r>
      <rPr>
        <sz val="10"/>
        <color rgb="FFFF0000"/>
        <rFont val="微软雅黑"/>
        <charset val="134"/>
      </rPr>
      <t>（所有机种写入</t>
    </r>
    <r>
      <rPr>
        <sz val="10"/>
        <color theme="1"/>
        <rFont val="微软雅黑"/>
        <charset val="134"/>
      </rPr>
      <t>）</t>
    </r>
  </si>
  <si>
    <t>主单位</t>
  </si>
  <si>
    <t>#define M_MAIN_UNIT_SIZE</t>
  </si>
  <si>
    <t>#define M_MAIN_UNIT_ADDR</t>
  </si>
  <si>
    <t>/*主单位*/</t>
  </si>
  <si>
    <t>主单位0:g，1:kg  2.lb  (所有机种需要写入)</t>
  </si>
  <si>
    <t>单位kg</t>
  </si>
  <si>
    <t>#define M_U_KG_SIZE</t>
  </si>
  <si>
    <t>#define M_U_KG_ADDR</t>
  </si>
  <si>
    <t>/*单位kg 开关 */</t>
  </si>
  <si>
    <t>kg单位开关（（LPP不需要，其他机种需要））</t>
  </si>
  <si>
    <t>单位g</t>
  </si>
  <si>
    <t>#define M_U_G_SIZE</t>
  </si>
  <si>
    <t>#define M_U_G_ADDR</t>
  </si>
  <si>
    <t>/*单位g 开关 */</t>
  </si>
  <si>
    <t>g单位开关（（LPP不需要，其他机种需要））</t>
  </si>
  <si>
    <t>单位ct</t>
  </si>
  <si>
    <t>#define M_U_CT_SIZE</t>
  </si>
  <si>
    <t>#define M_U_CT_ADDR</t>
  </si>
  <si>
    <t>/*单位ct 开关*/</t>
  </si>
  <si>
    <t>暂时没有机种使用</t>
  </si>
  <si>
    <t>单位lb</t>
  </si>
  <si>
    <t>#define M_U_LB_SIZE</t>
  </si>
  <si>
    <t>#define M_U_LB_ADDR</t>
  </si>
  <si>
    <t>/*单位lb 开关*/</t>
  </si>
  <si>
    <t>lb单位开关（（LPP不需要，其他机种需要））</t>
  </si>
  <si>
    <t>单位oz</t>
  </si>
  <si>
    <t>#define M_U_OZ_SIZE</t>
  </si>
  <si>
    <t>#define M_U_OZ_ADDR</t>
  </si>
  <si>
    <t>/*单位oz 开关*/</t>
  </si>
  <si>
    <t>oz单位开关（（LPP不需要，其他机种需要））</t>
  </si>
  <si>
    <t>单位d</t>
  </si>
  <si>
    <t>#define M_U_D_SIZE</t>
  </si>
  <si>
    <t>#define M_U_D_ADDR</t>
  </si>
  <si>
    <t>/*单位d 开关 */</t>
  </si>
  <si>
    <t>单位gn</t>
  </si>
  <si>
    <t>#define M_U_GN_SIZE</t>
  </si>
  <si>
    <t>#define M_U_GN_ADDR</t>
  </si>
  <si>
    <t>/*单位gn开关 */</t>
  </si>
  <si>
    <t>单位ozt</t>
  </si>
  <si>
    <t>#define M_U_OZT_SIZE</t>
  </si>
  <si>
    <t>#define M_U_OZT_ADDR</t>
  </si>
  <si>
    <t>/*单位ozt开关*/</t>
  </si>
  <si>
    <t>单位dwt</t>
  </si>
  <si>
    <t>#define M_U_DWT_SIZE</t>
  </si>
  <si>
    <t>#define M_U_DWT_ADDR</t>
  </si>
  <si>
    <t>/*单位dwt开关*/</t>
  </si>
  <si>
    <t>单位mom</t>
  </si>
  <si>
    <t>#define M_U_MOM_SIZE</t>
  </si>
  <si>
    <t>#define M_U_MOM_ADDR</t>
  </si>
  <si>
    <t>/*单位mom开关*/</t>
  </si>
  <si>
    <t>单位tlt</t>
  </si>
  <si>
    <t>#define M_U_TLT_SIZE</t>
  </si>
  <si>
    <t>#define M_U_TLT_ADDR</t>
  </si>
  <si>
    <t>/*单位tlt开关*/</t>
  </si>
  <si>
    <t>单位tlh</t>
  </si>
  <si>
    <t>#define M_U_TLH_SIZE</t>
  </si>
  <si>
    <t>#define M_U_TLH_ADDR</t>
  </si>
  <si>
    <t>/*单位tlh开关*/</t>
  </si>
  <si>
    <t>单位tlj</t>
  </si>
  <si>
    <t>#define M_U_TLJ_SIZE</t>
  </si>
  <si>
    <t>#define M_U_TLJ_ADDR</t>
  </si>
  <si>
    <t>/*单位tlj开关*/</t>
  </si>
  <si>
    <t>单位t</t>
  </si>
  <si>
    <t>#define M_U_T_SIZE</t>
  </si>
  <si>
    <t>#define M_U_T_ADDR</t>
  </si>
  <si>
    <t>/*单位t  开关*/</t>
  </si>
  <si>
    <t>单位bt</t>
  </si>
  <si>
    <t>#define M_U_BT_SIZE</t>
  </si>
  <si>
    <t>#define M_U_BT_ADDR</t>
  </si>
  <si>
    <t>/*单位bt开关 */</t>
  </si>
  <si>
    <t>单位n</t>
  </si>
  <si>
    <t>#define M_U_N_SIZE</t>
  </si>
  <si>
    <t>#define M_U_N_ADDR</t>
  </si>
  <si>
    <t>/*单位n 开关 */</t>
  </si>
  <si>
    <t>单位LBOZ</t>
  </si>
  <si>
    <t>#define M_U_LBOZ_SIZE</t>
  </si>
  <si>
    <t>#define M_U_LBOZ_ADDR</t>
  </si>
  <si>
    <t>/*单位LBOZ开关  */</t>
  </si>
  <si>
    <t>单位台斤</t>
  </si>
  <si>
    <t>#define M_U_TJ_SIZE</t>
  </si>
  <si>
    <t>#define M_U_TJ_ADDR</t>
  </si>
  <si>
    <t>/*单位TJ  开关*/</t>
  </si>
  <si>
    <t>单位港斤</t>
  </si>
  <si>
    <t>#define M_U_HJ_SIZE</t>
  </si>
  <si>
    <t>#define M_U_HJ_ADDR</t>
  </si>
  <si>
    <t>/*单位HJ 开关 */</t>
  </si>
  <si>
    <t>单位吨</t>
  </si>
  <si>
    <t>#define M_U_TON_SIZE</t>
  </si>
  <si>
    <t>#define M_U_TON_ADDR</t>
  </si>
  <si>
    <t>/*单位吨 开关 */</t>
  </si>
  <si>
    <t>主单位小数点</t>
  </si>
  <si>
    <t>#define M_DECI_DOT_SIZE</t>
  </si>
  <si>
    <t>#define M_DECI_DOT_ADDR</t>
  </si>
  <si>
    <t>/*主单位小数点*/</t>
  </si>
  <si>
    <t>零点追踪</t>
  </si>
  <si>
    <t>#define M_ZERO_TRACE_SIZE</t>
  </si>
  <si>
    <t>#define M_ZERO_TRACE_ADDR</t>
  </si>
  <si>
    <t>/*零点追踪*/</t>
  </si>
  <si>
    <t>认证模式不需要写入，分认证模式需要写入</t>
  </si>
  <si>
    <t>称重速度</t>
  </si>
  <si>
    <t>#define M_SCALE_SPEED_SIZE</t>
  </si>
  <si>
    <t>#define M_SCALE_SPEED_ADDR</t>
  </si>
  <si>
    <t>/*称重速度*/</t>
  </si>
  <si>
    <t>标定点温度内码</t>
  </si>
  <si>
    <t>#define M_TEMP_ENCODE_SIZE</t>
  </si>
  <si>
    <t>#define M_TEMP_ENCODE_ADDR</t>
  </si>
  <si>
    <t>/*标定点温度内码*/</t>
  </si>
  <si>
    <t>单、双量程模式</t>
  </si>
  <si>
    <t>#define M_RES_MODE_SIZE</t>
  </si>
  <si>
    <t>#define M_RES_MODE_ADDR</t>
  </si>
  <si>
    <t>/*单、双量程、精度模式*/</t>
  </si>
  <si>
    <t>#define M_CAL_MAIN_UNIT_SIZE</t>
  </si>
  <si>
    <t>#define M_CAL_MAIN_UNIT_ADDR</t>
  </si>
  <si>
    <t>/*标定时主单位*/</t>
  </si>
  <si>
    <t>//预留</t>
  </si>
  <si>
    <t>出厂参数</t>
  </si>
  <si>
    <t>出厂状态</t>
  </si>
  <si>
    <t>#define M_FACTORY_STATE_SIZE</t>
  </si>
  <si>
    <t>#define M_FACTORY_STATE_ADDR</t>
  </si>
  <si>
    <t>/*出厂状态*/</t>
  </si>
  <si>
    <t>出厂序号</t>
  </si>
  <si>
    <t>#define M_SN_SIZE</t>
  </si>
  <si>
    <t>#define M_SN_ADDR</t>
  </si>
  <si>
    <t>/*出厂序号*/</t>
  </si>
  <si>
    <t>默认参数标志</t>
  </si>
  <si>
    <t>#define M_DEF_PARAM_SIZE</t>
  </si>
  <si>
    <t>#define M_DEF_PARAM_ADDR</t>
  </si>
  <si>
    <t>/*默认参数标志*/</t>
  </si>
  <si>
    <t>年</t>
  </si>
  <si>
    <t>#define M_YEAR_SIZE</t>
  </si>
  <si>
    <t>#define M_YEAR_ADDR</t>
  </si>
  <si>
    <t>/*年*/</t>
  </si>
  <si>
    <t>月</t>
  </si>
  <si>
    <t>#define M_MONTH_SIZE</t>
  </si>
  <si>
    <t>#define M_MONTH_ADDR</t>
  </si>
  <si>
    <t>/*月*/</t>
  </si>
  <si>
    <t>日</t>
  </si>
  <si>
    <t>#define M_DAY_SIZE</t>
  </si>
  <si>
    <t>#define M_DAY_ADDR</t>
  </si>
  <si>
    <t>/*日*/</t>
  </si>
  <si>
    <t>时</t>
  </si>
  <si>
    <t>#define M_HOUR_SIZE</t>
  </si>
  <si>
    <t>#define M_HOUR_ADDR</t>
  </si>
  <si>
    <t>/*时*/</t>
  </si>
  <si>
    <t>分</t>
  </si>
  <si>
    <t>#define M_MINUTE_SIZE</t>
  </si>
  <si>
    <t>#define M_MINUTE_ADDR</t>
  </si>
  <si>
    <t>/*分*/</t>
  </si>
  <si>
    <t>标定重力</t>
  </si>
  <si>
    <t>#define M_CAL_GRAVITY_SIZE</t>
  </si>
  <si>
    <t>#define M_CAL_GRAVITY_ADDR</t>
  </si>
  <si>
    <t>/*标定重力*/</t>
  </si>
  <si>
    <t>当地重力</t>
  </si>
  <si>
    <t>#define M_LOCAL_GRAVITY_SIZE</t>
  </si>
  <si>
    <t>#define M_LOCAL_GRAVITY_ADDR</t>
  </si>
  <si>
    <t>/*当地重力*/</t>
  </si>
  <si>
    <t>外部校正比率</t>
  </si>
  <si>
    <t>#define M_CAL_RATIO_SIZE</t>
  </si>
  <si>
    <t>#define M_CAL_RATIO_ADDR</t>
  </si>
  <si>
    <t>/*外部校正比率*/</t>
  </si>
  <si>
    <t>自动关机</t>
  </si>
  <si>
    <t>#define M_AUTO_OFF_SIZE</t>
  </si>
  <si>
    <t>#define M_AUTO_OFF_ADDR</t>
  </si>
  <si>
    <t>/*自动关机*/</t>
  </si>
  <si>
    <t>自动背光</t>
  </si>
  <si>
    <t>#define M_AUTO_BL_SIZE</t>
  </si>
  <si>
    <t>#define M_AUTO_BL_ADDR</t>
  </si>
  <si>
    <t>/*自动背光*/</t>
  </si>
  <si>
    <t>bit 7:2 背光时间bit 0:打开，1：关闭</t>
  </si>
  <si>
    <t>累加开关</t>
  </si>
  <si>
    <t>#define M_ACC_SW_SIZE</t>
  </si>
  <si>
    <t>#define M_ACC_SW_ADDR</t>
  </si>
  <si>
    <t>/*累加开关*/</t>
  </si>
  <si>
    <t>目前T2200P在使用</t>
  </si>
  <si>
    <t>按键蜂鸣器开关</t>
  </si>
  <si>
    <t>#define M_KEY_BUZZER_SIZE</t>
  </si>
  <si>
    <t>#define M_KEY_BUZZER_ADDR</t>
  </si>
  <si>
    <t>/*蜂鸣器*/</t>
  </si>
  <si>
    <t>目前T-MAX在使用</t>
  </si>
  <si>
    <t>上下限蜂鸣器开关</t>
  </si>
  <si>
    <t>#define M_ALARM_BUZZER_SIZE</t>
  </si>
  <si>
    <t>#define M_ALARM_BUZZER_ADDR</t>
  </si>
  <si>
    <t>/*上下限蜂鸣器开关*/</t>
  </si>
  <si>
    <t>报错蜂鸣器开关</t>
  </si>
  <si>
    <t>#define M_ERROR_BUZZER_SIZE</t>
  </si>
  <si>
    <t>#define M_ERROR_BUZZER_ADDR</t>
  </si>
  <si>
    <t>/*报错蜂鸣器开关*/</t>
  </si>
  <si>
    <t>自动背光时间</t>
  </si>
  <si>
    <t>#define M_BL_AUTO_TIME_SIZE</t>
  </si>
  <si>
    <t>#define M_BL_AUTO_TIME_ADDR</t>
  </si>
  <si>
    <t>/*自动背光时间*/</t>
  </si>
  <si>
    <t>多次扣重</t>
  </si>
  <si>
    <t>#define M_MULTARE_SIZE</t>
  </si>
  <si>
    <t>#define M_MULTARE_ADDR</t>
  </si>
  <si>
    <t>/*多次扣重开关*/</t>
  </si>
  <si>
    <t>称重类型(计价/计重)</t>
  </si>
  <si>
    <t>#define M_WEIGHT_TYPE_SIZE</t>
  </si>
  <si>
    <t>#define  M_WEIGHT_TYPE_ADDR</t>
  </si>
  <si>
    <t>/*称重类型(计价/计重)*/</t>
  </si>
  <si>
    <t>称重模式</t>
  </si>
  <si>
    <t>#define M_WEIGHT_MODE_SIZE</t>
  </si>
  <si>
    <t>#define  M_WEIGHT_MODE_ADDR</t>
  </si>
  <si>
    <t>/*称重模式*/</t>
  </si>
  <si>
    <t>T-MAX\T2200P在使用</t>
  </si>
  <si>
    <t>检重模式</t>
  </si>
  <si>
    <t>#define M_CHECK_MODE_SIZE</t>
  </si>
  <si>
    <t>#define  M_CHECK_MODE_ADDR</t>
  </si>
  <si>
    <t>/*检重模式*/</t>
  </si>
  <si>
    <t>计重、仪表类使用</t>
  </si>
  <si>
    <t>电流环模式(电流/电压)</t>
  </si>
  <si>
    <t>#define M_LOOP_MODE_SIZE</t>
  </si>
  <si>
    <t>#define  M_LOOP_MODE_ADDR</t>
  </si>
  <si>
    <t>/*电流环模式(电流/电压)*/</t>
  </si>
  <si>
    <t>乘10开关</t>
  </si>
  <si>
    <t>#define M_X10_SWITCH_SIZE</t>
  </si>
  <si>
    <t>#define  M_X10_SWITCH_ADDR</t>
  </si>
  <si>
    <t>/*乘10开关*/</t>
  </si>
  <si>
    <t>日期格式</t>
  </si>
  <si>
    <t>#define M_DATA_TYPE_SIZE</t>
  </si>
  <si>
    <t>#define M_DATA_TYPE_ADDR</t>
  </si>
  <si>
    <t>0:yymmdd 1:mmddyy 2: ddmmyy</t>
  </si>
  <si>
    <t>最小称量范围</t>
  </si>
  <si>
    <t>#define M_MINI_WEIGHT_SIZE</t>
  </si>
  <si>
    <t>#define M_MINI_WEIGHT_ADDR</t>
  </si>
  <si>
    <t>二次打印开关</t>
  </si>
  <si>
    <t>#define M_DOUBLE_PRINT_SIZE</t>
  </si>
  <si>
    <t>#define M_DOUBLE_PRINT_ADDR</t>
  </si>
  <si>
    <t>LPP使用</t>
  </si>
  <si>
    <t>背光亮度</t>
  </si>
  <si>
    <t>#define M_SET_BL_BRIGHTNESS_SIZE</t>
  </si>
  <si>
    <t>#define M_SET_BL_BRIGHTNESS_ADDR</t>
  </si>
  <si>
    <t>结账开关</t>
  </si>
  <si>
    <t>#define M_PAY_SWITCH_SIZE</t>
  </si>
  <si>
    <t>#define M_PAY_SWITCH_ADDR</t>
  </si>
  <si>
    <t>计价秤使用</t>
  </si>
  <si>
    <t>内置砝码校准周期</t>
  </si>
  <si>
    <t>#define M_IN_CAL_PERIOD_SIZE</t>
  </si>
  <si>
    <t>#define M_IN_CAL_PERIOD_ADDR</t>
  </si>
  <si>
    <t>认证类型</t>
  </si>
  <si>
    <t>#define M_PROVE_TYPE_SIZE</t>
  </si>
  <si>
    <t>#define M_PROVE_TYPE_ADDR</t>
  </si>
  <si>
    <t>/*认证类型*/</t>
  </si>
  <si>
    <r>
      <rPr>
        <sz val="10"/>
        <color rgb="FFFF0000"/>
        <rFont val="微软雅黑"/>
        <charset val="134"/>
      </rPr>
      <t xml:space="preserve">所有机种需要写入  </t>
    </r>
    <r>
      <rPr>
        <sz val="10"/>
        <color theme="1"/>
        <rFont val="微软雅黑"/>
        <charset val="134"/>
      </rPr>
      <t>0：非认证  1.OIML认证</t>
    </r>
  </si>
  <si>
    <t>不稳定打印开关</t>
  </si>
  <si>
    <t>#define M_UNSTABLE_PRINT_SIZE</t>
  </si>
  <si>
    <t>#define M_UNSTABLE_PRINT_ADDR</t>
  </si>
  <si>
    <t>/*不稳定打印开关*/</t>
  </si>
  <si>
    <r>
      <rPr>
        <sz val="10"/>
        <color rgb="FFFF0000"/>
        <rFont val="微软雅黑"/>
        <charset val="134"/>
      </rPr>
      <t xml:space="preserve">所有机种需要写入     </t>
    </r>
    <r>
      <rPr>
        <sz val="10"/>
        <color theme="1"/>
        <rFont val="微软雅黑"/>
        <charset val="134"/>
      </rPr>
      <t xml:space="preserve">    0：关闭  1.打开</t>
    </r>
  </si>
  <si>
    <t>标定自动跳转开关</t>
  </si>
  <si>
    <t>#define M_CAL_AUTO_SKIP_SIZE</t>
  </si>
  <si>
    <t>#define M_CAL_AUTO_SKIP_ADDR</t>
  </si>
  <si>
    <t>/*标定自动跳转开关*/</t>
  </si>
  <si>
    <r>
      <rPr>
        <sz val="10"/>
        <color rgb="FFFF0000"/>
        <rFont val="微软雅黑"/>
        <charset val="134"/>
      </rPr>
      <t xml:space="preserve">所有机种需要写入     </t>
    </r>
    <r>
      <rPr>
        <sz val="10"/>
        <color theme="1"/>
        <rFont val="微软雅黑"/>
        <charset val="134"/>
      </rPr>
      <t>0：关闭  1.打开</t>
    </r>
  </si>
  <si>
    <t>标定时放置砝码自动跳转开关</t>
  </si>
  <si>
    <t>休眠时间</t>
  </si>
  <si>
    <t>#define M_SLEEP_AUTO_TIME_SIZE</t>
  </si>
  <si>
    <t>#define M_SLEEP_AUTO_TIME_ADDR</t>
  </si>
  <si>
    <t>/*休眠时间*/</t>
  </si>
  <si>
    <t>FCX使用</t>
  </si>
  <si>
    <t>电池类型</t>
  </si>
  <si>
    <t>#define M_BATTERY_TYPE_SIZE</t>
  </si>
  <si>
    <t>#define M_BATTERY_TYPE_ADDR</t>
  </si>
  <si>
    <t>/*电池类型*/</t>
  </si>
  <si>
    <t>干电池还是锂电池</t>
  </si>
  <si>
    <t>背光类型（三色/单色灯）</t>
  </si>
  <si>
    <t>#define M_RGB_TYPE_ADDR_SIZE</t>
  </si>
  <si>
    <t>#define M_RGB_TYPE_ADDR_ADDR</t>
  </si>
  <si>
    <t>/*背光类型（三色/单色灯）*/</t>
  </si>
  <si>
    <t>价格单位100g开关</t>
  </si>
  <si>
    <t>#define M_PRICE_UNIT_100G_SW_SIZE</t>
  </si>
  <si>
    <t>#define M_PRICE_UNIT_100G_SW_ADDR</t>
  </si>
  <si>
    <t>/*价格单位100g开关*/</t>
  </si>
  <si>
    <t>非认证校正开关保护</t>
  </si>
  <si>
    <t>#define M_NONE__APPROVE_CAlSWITCH_SIZE</t>
  </si>
  <si>
    <t>#define M_NONE__APPROVE_CAlSWITCH_ADDR</t>
  </si>
  <si>
    <t>/*非认证校正开关保护*/</t>
  </si>
  <si>
    <t>QHW使用</t>
  </si>
  <si>
    <t>串口参数</t>
  </si>
  <si>
    <t>RS232输出类型</t>
  </si>
  <si>
    <t>#define M_RS232_SW_SIZE</t>
  </si>
  <si>
    <t>#define M_RS232_SW_ADDR</t>
  </si>
  <si>
    <t>/*RS232输出类型*/</t>
  </si>
  <si>
    <t>输出协议还是用作打印</t>
  </si>
  <si>
    <t>RS232byte</t>
  </si>
  <si>
    <t>#define M_RS232_BYTE_SIZE</t>
  </si>
  <si>
    <t>#define M_RS232_BYTE_ADDR</t>
  </si>
  <si>
    <t>/*RS232byte*/</t>
  </si>
  <si>
    <t>RS232波特率</t>
  </si>
  <si>
    <t>#define M_RS232_BAUD_SIZE</t>
  </si>
  <si>
    <t>#define M_RS232_BAUD_ADDR</t>
  </si>
  <si>
    <t>/*RS232波特率*/</t>
  </si>
  <si>
    <t>RS232协议</t>
  </si>
  <si>
    <t>#define M_RS232_PROTOCOL_SIZE</t>
  </si>
  <si>
    <t>#define M_RS232_PROTOCOL_ADDR</t>
  </si>
  <si>
    <t>/*RS232协议*/</t>
  </si>
  <si>
    <t>RS232打印机</t>
  </si>
  <si>
    <t>#define M_RS232_PRINTER_SIZE</t>
  </si>
  <si>
    <t>#define M_RS232_PRINTER_ADDR</t>
  </si>
  <si>
    <t>/*RS232打印机*/</t>
  </si>
  <si>
    <t>APP/LPP在使用  打印机开关</t>
  </si>
  <si>
    <t>USB开关</t>
  </si>
  <si>
    <t>#define M_USB_SW_SIZE</t>
  </si>
  <si>
    <t>#define M_USB_SW_ADDR</t>
  </si>
  <si>
    <t>/*USB开关*/</t>
  </si>
  <si>
    <t>USBbyte</t>
  </si>
  <si>
    <t>#define M_USB_BYTE_SIZE</t>
  </si>
  <si>
    <t>#define M_USB_BYTE_ADDR</t>
  </si>
  <si>
    <t>/*USBbyte*/</t>
  </si>
  <si>
    <t>USB波特率/COM3波特率</t>
  </si>
  <si>
    <t>#define M_USB_BAUD_SIZE</t>
  </si>
  <si>
    <t>#define M_USB_BAUD_ADDR</t>
  </si>
  <si>
    <t>/*USB波特率*/</t>
  </si>
  <si>
    <t>T-MAX使用（用作com3波特率储存）</t>
  </si>
  <si>
    <t>USB协议</t>
  </si>
  <si>
    <t>#define M_USB_PROTOCOL_SIZE</t>
  </si>
  <si>
    <t>#define M_USB_PROTOCOL_ADDR</t>
  </si>
  <si>
    <t>/*USB协议*/</t>
  </si>
  <si>
    <t>APP\LPP在使用</t>
  </si>
  <si>
    <t>USB打印机</t>
  </si>
  <si>
    <t>#define M_USB_PRINTER_SIZE</t>
  </si>
  <si>
    <t>#define M_USB_PRINTER_ADDR</t>
  </si>
  <si>
    <t>/*USB打印机*/</t>
  </si>
  <si>
    <t>打印语言</t>
  </si>
  <si>
    <t>#define M_PRINT_LANG_SIZE</t>
  </si>
  <si>
    <t>#define M_PRINT_LANG_ADDR</t>
  </si>
  <si>
    <t>/*打印语言*/</t>
  </si>
  <si>
    <t>LPP在使用</t>
  </si>
  <si>
    <t>打印格式（称重打印格式）</t>
  </si>
  <si>
    <t>#define M_PRINT_FORMAT_SIZE</t>
  </si>
  <si>
    <t>#define M_PRINT_FORMAT_ADDR</t>
  </si>
  <si>
    <t>/*打印格式*/</t>
  </si>
  <si>
    <t>0默认打印格式/1自定义打印格式  不写默认0</t>
  </si>
  <si>
    <t>自动累加打印</t>
  </si>
  <si>
    <t>#define M_ACC_PRINT_SIZE</t>
  </si>
  <si>
    <t>#define M_ACC_PRINT_ADDR</t>
  </si>
  <si>
    <t>/*自动累加打印*/</t>
  </si>
  <si>
    <t>T2200P\T-MAX使用</t>
  </si>
  <si>
    <t>RS232停止位</t>
  </si>
  <si>
    <t>#define M_RS232_STOP_SIZE</t>
  </si>
  <si>
    <t>#define M_RS232_STOP_ADDR</t>
  </si>
  <si>
    <t>/*RS232停止位*/</t>
  </si>
  <si>
    <t>RS232校验位</t>
  </si>
  <si>
    <t>#define M_RS232_CHECK_SIZE</t>
  </si>
  <si>
    <t>#define M_RS232_CHECK_ADDR</t>
  </si>
  <si>
    <t>/*RS232校验位*/</t>
  </si>
  <si>
    <t>以太网IP地址</t>
  </si>
  <si>
    <t>#define M_NET_IP_ADDRESS_SIZE</t>
  </si>
  <si>
    <t>#define M_NET_IP_ADDRESS_ADDR</t>
  </si>
  <si>
    <t>/*以太网IP地址*/</t>
  </si>
  <si>
    <t>带网口机种使用</t>
  </si>
  <si>
    <t>以太网协议类型</t>
  </si>
  <si>
    <t>#define M_NET_PROTOCOL_SIZE</t>
  </si>
  <si>
    <t>#define M_NET_PROTOCOL_ADDR</t>
  </si>
  <si>
    <t>/*以太网协议类型*/</t>
  </si>
  <si>
    <t>蓝牙开关</t>
  </si>
  <si>
    <t>#define M_BT_SW_SIZE</t>
  </si>
  <si>
    <t>#define M_BT_SW_ADDR</t>
  </si>
  <si>
    <t>/*蓝牙开关*/</t>
  </si>
  <si>
    <t>暂无机种使用</t>
  </si>
  <si>
    <t>蓝牙发送协议</t>
  </si>
  <si>
    <t>#define M_BT_SEND_TYPE_SIZE</t>
  </si>
  <si>
    <t>#define M_BT_SEND_TYPE_ADDR</t>
  </si>
  <si>
    <t>/*蓝牙发送协议*/</t>
  </si>
  <si>
    <t>WiFi开关</t>
  </si>
  <si>
    <t>#define M_WIFI_POWER_SIZE</t>
  </si>
  <si>
    <t>#define M_WIFI_POWER_ADDR</t>
  </si>
  <si>
    <t>/*WiFi开关*/</t>
  </si>
  <si>
    <t>WiFi发送协议</t>
  </si>
  <si>
    <t>#define M_WIFI_SEND_TYPE_SIZE</t>
  </si>
  <si>
    <t>#define M_WIFI_SEND_TYPE_ADDR</t>
  </si>
  <si>
    <t>/*WiFi发送协议*/</t>
  </si>
  <si>
    <t>打印格式类型地址</t>
  </si>
  <si>
    <t>#define M_PRINT_FORMAT_TYPE_SIZE</t>
  </si>
  <si>
    <t>#define M_PRINT_FORMAT_TYPE_ADDR</t>
  </si>
  <si>
    <t>/*打印格式类型地址*/</t>
  </si>
  <si>
    <t>格式一格式二格式三 不写默认格式一</t>
  </si>
  <si>
    <t>PCS打印格式</t>
  </si>
  <si>
    <t>#define M_PCS_FORMAT_SIZE</t>
  </si>
  <si>
    <t>#define M_PCS_FORMAT_ADDR</t>
  </si>
  <si>
    <t>/*PCS打印格式*/</t>
  </si>
  <si>
    <t>累加打印格式</t>
  </si>
  <si>
    <t>#define M_ACC_FORMAT_SIZE</t>
  </si>
  <si>
    <t>#define M_ACC_FORMAT_ADDR</t>
  </si>
  <si>
    <t>/*累加打印格式*/</t>
  </si>
  <si>
    <t>com2输出类型</t>
  </si>
  <si>
    <t>#define M_COM2_OUTPUT_TYPE_SIZE</t>
  </si>
  <si>
    <t>#define M_COM2_OUTPUT_TYPE_ADDR</t>
  </si>
  <si>
    <t>/*串口2输出类型*/</t>
  </si>
  <si>
    <t>com3输出类型</t>
  </si>
  <si>
    <t>#define M_COM3_OUTPUT_TYPE_SIZE</t>
  </si>
  <si>
    <t>#define M_COM3_OUTPUT_TYPE_ADDR</t>
  </si>
  <si>
    <t>/*串口3输出类型*/</t>
  </si>
  <si>
    <t>T-MAX使用</t>
  </si>
  <si>
    <t>com2波特率</t>
  </si>
  <si>
    <t>#define M_COM2_BAUD_SIZE</t>
  </si>
  <si>
    <t>#define M_COM2_BAUD_ADDR</t>
  </si>
  <si>
    <t>/*com2波特率*/</t>
  </si>
  <si>
    <t>com3发送类型</t>
  </si>
  <si>
    <t>#define M_COM3_SEND_TYPE_SIZE</t>
  </si>
  <si>
    <t>#define M_COM3_SEND_TYPE_ADDR</t>
  </si>
  <si>
    <t>com2发送类型</t>
  </si>
  <si>
    <t>#define M_COM2_SEND_TYPE_SIZE</t>
  </si>
  <si>
    <t>#define M_COM2_SEND_TYPE_ADDR</t>
  </si>
  <si>
    <t>网络端口号</t>
  </si>
  <si>
    <t>#define M_PORT_NUMBER_SIZE</t>
  </si>
  <si>
    <t>#define M_PORT_NUMBER_ADDR</t>
  </si>
  <si>
    <t>/*网络端口号*/</t>
  </si>
  <si>
    <t>无线外设类型</t>
  </si>
  <si>
    <t>#define M_WIRELESS_PERIPHERAL_TYPE_SIZE</t>
  </si>
  <si>
    <t>#define M_WIRELESS_PERIPHERAL_TYPE_ADDR</t>
  </si>
  <si>
    <t>/*无线外设类型，WiFi/blue*/</t>
  </si>
  <si>
    <t>0.关，1.WiFi，2.blue</t>
  </si>
  <si>
    <t>打印格式解析类型</t>
  </si>
  <si>
    <t>#define M_PRINT_ANALYSIS_TYPE_SIZE</t>
  </si>
  <si>
    <t>#define M_PRINT_ANALYSIS_TYPE_ADDR</t>
  </si>
  <si>
    <t>/*打印格式解析类型*/</t>
  </si>
  <si>
    <t>WiFi连接远程IP</t>
  </si>
  <si>
    <t>#define M_WIFI_REMOTE_IP_SIZE</t>
  </si>
  <si>
    <t>#define M_WIFI_REMOTE_IP_ADDR</t>
  </si>
  <si>
    <t>/*WiFi连接远程IP*/</t>
  </si>
  <si>
    <t>WiFi连接远程端口</t>
  </si>
  <si>
    <t>#define M_WIFI_REMOTE_PORT_SIZE</t>
  </si>
  <si>
    <t>#define M_WIFI_REMOTE_PORT_ADDR</t>
  </si>
  <si>
    <t>/*WiFi连接远程端口*/</t>
  </si>
  <si>
    <t>wifi连接模式</t>
  </si>
  <si>
    <t>#define M_WIFI_CONN_TYPE_SIZE</t>
  </si>
  <si>
    <t>#define M_WIFI_CONN_TYPE_ADDR</t>
  </si>
  <si>
    <t>/*wifi连接模式*/</t>
  </si>
  <si>
    <t>0-UPD 1-TCP_Client 2-TCP_Server</t>
  </si>
  <si>
    <t>价格参数</t>
  </si>
  <si>
    <t>税种类（内/外含税）</t>
  </si>
  <si>
    <t>#define M_TAX_KIND_SIZE</t>
  </si>
  <si>
    <t>#define  M_TAX_KIND_ADDR</t>
  </si>
  <si>
    <t>/*税种类（内/外含税）*/</t>
  </si>
  <si>
    <t>税类型(1  2  3)</t>
  </si>
  <si>
    <t>#define M_TAX_TYPE_SIZE</t>
  </si>
  <si>
    <t>#define  M_TAX_TYPE_ADDR</t>
  </si>
  <si>
    <t>/*税类型(1  2  3)*/</t>
  </si>
  <si>
    <t>TAX1税值</t>
  </si>
  <si>
    <t>#define M_TYPE1_TAX_VALUE_SIZE</t>
  </si>
  <si>
    <t>#define  M_TYPE1_TAX_VALUE_ADDR</t>
  </si>
  <si>
    <t>/*TAX1税值*/</t>
  </si>
  <si>
    <t>TAX2税值</t>
  </si>
  <si>
    <t>#define M_TYPE2_TAX_VALUE_SIZE</t>
  </si>
  <si>
    <t>#define  M_TYPE2_TAX_VALUE_ADDR</t>
  </si>
  <si>
    <t>/*TAX2税值*/</t>
  </si>
  <si>
    <t>TAX3税值</t>
  </si>
  <si>
    <t>#define M_TYPE3_TAX_VALUE_SIZE</t>
  </si>
  <si>
    <t>#define  M_TYPE3_TAX_VALUE_ADDR</t>
  </si>
  <si>
    <t>/*TAX3税值*/</t>
  </si>
  <si>
    <t>价格小数点</t>
  </si>
  <si>
    <t>#define M_PDECI_DOT_SIZE</t>
  </si>
  <si>
    <t>#define M_PDECI_DOT_ADDR</t>
  </si>
  <si>
    <t>价格分度值</t>
  </si>
  <si>
    <t>#define M_PRESOLATION_SIZE</t>
  </si>
  <si>
    <t>#define M_PRESOLATION_ADDR</t>
  </si>
  <si>
    <t>小数点模式</t>
  </si>
  <si>
    <t>#define M_DECI_MODE_SIZE</t>
  </si>
  <si>
    <t>#define M_DECI_MODE_ADDR</t>
  </si>
  <si>
    <t>价格单位</t>
  </si>
  <si>
    <t>#define M_PRICE_UNIT_SIZE</t>
  </si>
  <si>
    <t>#define M_PRICE_UNIT_ADDR</t>
  </si>
  <si>
    <t>单价保存</t>
  </si>
  <si>
    <t>#define M_PRICE_SAVE_SIZE</t>
  </si>
  <si>
    <t>#define M_PRICE_SAVE_ADDR</t>
  </si>
  <si>
    <t>货币类型</t>
  </si>
  <si>
    <t>#define M_CURRENCY_TYPE_SIZE</t>
  </si>
  <si>
    <t>#define M_CURRENCY_TYPE_ADDR</t>
  </si>
  <si>
    <t>自定义货币名称</t>
  </si>
  <si>
    <t>#define M_CURRENCY_NAME_SIZE</t>
  </si>
  <si>
    <t>#define M_CURRENCY_NAME_ADDR</t>
  </si>
  <si>
    <t>税的名称</t>
  </si>
  <si>
    <t>#define M_TAX_NAME_SIZE</t>
  </si>
  <si>
    <t>#define M_TAX_NAME_ADDR</t>
  </si>
  <si>
    <t>LPP现在正在使用，</t>
  </si>
  <si>
    <t>报表保存开关</t>
  </si>
  <si>
    <t>#define M_REPORT_SAVE_SW_SIZE</t>
  </si>
  <si>
    <t>#define M_REPORT_SAVE_SW_ADDR</t>
  </si>
  <si>
    <t>LPP迪拜现在正在使用，</t>
  </si>
  <si>
    <t>其他</t>
  </si>
  <si>
    <t>百分比重量基数</t>
  </si>
  <si>
    <t>#define M_PRECENT_BASE_SIZE</t>
  </si>
  <si>
    <t>#define  M_PRECENT_BASE_ADDR</t>
  </si>
  <si>
    <t>/*百分比重量基数*/</t>
  </si>
  <si>
    <t>计重秤写入</t>
  </si>
  <si>
    <t>单重</t>
  </si>
  <si>
    <t>#define M_UNIT_WEIHT_SIZE</t>
  </si>
  <si>
    <t>#define  M_UNIT_WEIHT_ADDR</t>
  </si>
  <si>
    <t>/*单重*/</t>
  </si>
  <si>
    <t>异常记录</t>
  </si>
  <si>
    <t>#define M_EXC_RECORD_SIZE</t>
  </si>
  <si>
    <t>#define M_EXC_RECORD_ADDR</t>
  </si>
  <si>
    <t>/*异常记录*/</t>
  </si>
  <si>
    <t>暂无使用</t>
  </si>
  <si>
    <t>标定记录</t>
  </si>
  <si>
    <t>#define M_CAL_RECORD_SIZE</t>
  </si>
  <si>
    <t>#define M_CAL_RECORD_ADDR</t>
  </si>
  <si>
    <t>/*标定记录*/</t>
  </si>
  <si>
    <r>
      <rPr>
        <sz val="10"/>
        <color theme="1"/>
        <rFont val="微软雅黑"/>
        <charset val="134"/>
      </rPr>
      <t xml:space="preserve">最高位用于判断是否标定   </t>
    </r>
    <r>
      <rPr>
        <sz val="10"/>
        <color rgb="FFFF0000"/>
        <rFont val="微软雅黑"/>
        <charset val="134"/>
      </rPr>
      <t xml:space="preserve">  所有机种写入</t>
    </r>
  </si>
  <si>
    <t>内置砝码校准开关</t>
  </si>
  <si>
    <t>#define MF_IN_LOAD_CAL_SIZE</t>
  </si>
  <si>
    <t>#define MF_IN_LOAD_CAL_ADDR</t>
  </si>
  <si>
    <t>/*内置砝码校准开关*/</t>
  </si>
  <si>
    <r>
      <rPr>
        <sz val="11"/>
        <color theme="1"/>
        <rFont val="宋体"/>
        <charset val="134"/>
      </rPr>
      <t xml:space="preserve">Y 开启 其他关闭             </t>
    </r>
    <r>
      <rPr>
        <sz val="11"/>
        <color rgb="FF00B050"/>
        <rFont val="宋体"/>
        <charset val="134"/>
      </rPr>
      <t>暂无机种写入</t>
    </r>
    <r>
      <rPr>
        <sz val="11"/>
        <color theme="1"/>
        <rFont val="宋体"/>
        <charset val="134"/>
      </rPr>
      <t xml:space="preserve">   带内置砝码小天平会写入</t>
    </r>
  </si>
  <si>
    <t>EEPROM版本号</t>
  </si>
  <si>
    <t>第二页</t>
  </si>
  <si>
    <t>设置PCS上限</t>
  </si>
  <si>
    <t>#define M_PCS_H_LMT_RANGE_SIZE</t>
  </si>
  <si>
    <t>#define M_PCS_H_LMT_RANGE_ADDR</t>
  </si>
  <si>
    <t>/*设置PCS上限*/</t>
  </si>
  <si>
    <t>设置PCS下限</t>
  </si>
  <si>
    <t>#define M_PCS_L_LMT_RANGE_SIZE</t>
  </si>
  <si>
    <t>#define M_PCS_L_LMT_RANGE_ADDR</t>
  </si>
  <si>
    <t>/*设置PCS下限*/</t>
  </si>
  <si>
    <t>外部砝码校准开关</t>
  </si>
  <si>
    <t>#define MF_EX_LOAD_CAL_SIZE</t>
  </si>
  <si>
    <t>#define MF_EX_LOAD_CAL_ADDR</t>
  </si>
  <si>
    <t>/*外部砝码校准开关*/</t>
  </si>
  <si>
    <t>温补开关</t>
  </si>
  <si>
    <t>#define MF_TEMPERATURE_SIZE</t>
  </si>
  <si>
    <t>#define MF_TEMPERATURE_ADDR</t>
  </si>
  <si>
    <t>/*温补开关*/</t>
  </si>
  <si>
    <t xml:space="preserve">Y 开启 其他关闭             暂无机种写入 </t>
  </si>
  <si>
    <t>设置%上限</t>
  </si>
  <si>
    <t>#define M_PCT_H_LMT_RANGE_SIZE</t>
  </si>
  <si>
    <t>#define M_PCT_H_LMT_RANGE_ADDR</t>
  </si>
  <si>
    <t>/*设置%上限*/</t>
  </si>
  <si>
    <t>设置%下限</t>
  </si>
  <si>
    <t>#define M_PCT_L_LMT_RANGE_SIZE</t>
  </si>
  <si>
    <t>#define M_PCT_L_LMT_RANGE_ADDR</t>
  </si>
  <si>
    <t>/*设置%下限*/</t>
  </si>
  <si>
    <t>热机开关</t>
  </si>
  <si>
    <t>#define MF_WARMUP_SIZE</t>
  </si>
  <si>
    <t>#define MF_WARMUP_ADDR</t>
  </si>
  <si>
    <t>/*热机开关*/</t>
  </si>
  <si>
    <t>0:关 1:开  （小天平使用  T-MAX系列暂无使用）</t>
  </si>
  <si>
    <t>设置上限</t>
  </si>
  <si>
    <t>#define M_H_LMT_RANGE_SIZE</t>
  </si>
  <si>
    <t>#define M_H_LMT_RANGE_ADDR</t>
  </si>
  <si>
    <t>/*设置上限*/</t>
  </si>
  <si>
    <t>重量上限    计重秤写入</t>
  </si>
  <si>
    <t>设置下限</t>
  </si>
  <si>
    <t>#define M_L_LMT_RANGE_SIZE</t>
  </si>
  <si>
    <t>#define M_L_LMT_RANGE_ADDR</t>
  </si>
  <si>
    <t>/*设置下限*/</t>
  </si>
  <si>
    <t>重量下限   计重秤写入</t>
  </si>
  <si>
    <t>菜单闪烁开关</t>
  </si>
  <si>
    <t>#define M_FLICKER_SWITCH_SIZE</t>
  </si>
  <si>
    <t>#define M_FLICKER_SWITCH_ADDR</t>
  </si>
  <si>
    <t>/*菜单闪烁开关*/</t>
  </si>
  <si>
    <t>0:关 1:开  (T-MAX使用)</t>
  </si>
  <si>
    <t>年份打印位数</t>
  </si>
  <si>
    <t>#define M_YEAR_PLACES_SIZE</t>
  </si>
  <si>
    <t>#define M_YEAR_PLACES_ADDR</t>
  </si>
  <si>
    <t>/*年份打印位数*/</t>
  </si>
  <si>
    <r>
      <rPr>
        <sz val="10"/>
        <color theme="1"/>
        <rFont val="微软雅黑"/>
        <charset val="134"/>
      </rPr>
      <t xml:space="preserve">2位和4位  因为有时打印24有时打印2024    </t>
    </r>
    <r>
      <rPr>
        <sz val="10"/>
        <color rgb="FFFF0000"/>
        <rFont val="微软雅黑"/>
        <charset val="134"/>
      </rPr>
      <t>（所有机种写入）</t>
    </r>
  </si>
  <si>
    <t>日期分隔符</t>
  </si>
  <si>
    <t>#define M_DATATIME_SEPARATOR_SIZE</t>
  </si>
  <si>
    <t>#define M_DATATIME_SEPARATOR_ADDR</t>
  </si>
  <si>
    <t>/*日期分隔符*/</t>
  </si>
  <si>
    <r>
      <rPr>
        <sz val="10"/>
        <color theme="1"/>
        <rFont val="微软雅黑"/>
        <charset val="134"/>
      </rPr>
      <t xml:space="preserve">时间日期分隔符 0：'.'     1:'/'   </t>
    </r>
    <r>
      <rPr>
        <sz val="10"/>
        <color rgb="FFFF0000"/>
        <rFont val="微软雅黑"/>
        <charset val="134"/>
      </rPr>
      <t>（所有机种写入）</t>
    </r>
  </si>
  <si>
    <t>国内扣重设置</t>
  </si>
  <si>
    <t>#define M_IN_COUNTRY_TARE_SIZE</t>
  </si>
  <si>
    <t>#define M_IN_COUNTRY_TARE_ADDR</t>
  </si>
  <si>
    <t>/*国内扣重设置*/</t>
  </si>
  <si>
    <t>国内设置扣重功能开关(仅FC写入)</t>
  </si>
  <si>
    <t>国内归零设置</t>
  </si>
  <si>
    <t>#define M_IN_COUNTRY_ZERO_SIZE</t>
  </si>
  <si>
    <t>#define M_IN_COUNTRY_ZERO_ADDR</t>
  </si>
  <si>
    <t>/*国内归零设置*/</t>
  </si>
  <si>
    <t>国内设置归零功能菜单(仅FC写入)</t>
  </si>
  <si>
    <t>超级低速开关</t>
  </si>
  <si>
    <t>#define M_UL_LOW_SIZE</t>
  </si>
  <si>
    <t>#define M_UL_LOW_ADDR</t>
  </si>
  <si>
    <t>/*超级低速开关*/</t>
  </si>
  <si>
    <t>超级低速开关菜单（仅FC写入）</t>
  </si>
  <si>
    <t>重量锁定值</t>
  </si>
  <si>
    <t>#define M_LOCK_WEIGHT_SIZE</t>
  </si>
  <si>
    <t>#define M_LOCK_WEIGHT_ADDR</t>
  </si>
  <si>
    <t>/*重量锁定值*/</t>
  </si>
  <si>
    <t>重量锁定值（仅FC写入）单位为D</t>
  </si>
  <si>
    <t>大重量回零</t>
  </si>
  <si>
    <t>#define M_BACK_ZERO_SIZE</t>
  </si>
  <si>
    <t>#define M_BACK_ZERO_ADDR</t>
  </si>
  <si>
    <t>/*大重量回零*/</t>
  </si>
  <si>
    <t>大重量回零开关（仅FC写入）</t>
  </si>
  <si>
    <t>客户菜单地址</t>
  </si>
  <si>
    <t>ACC_OK开关</t>
  </si>
  <si>
    <t>#define M_ACC_OK_SW_SIZE</t>
  </si>
  <si>
    <t>#define M_ACC_OK_SW_ADDR</t>
  </si>
  <si>
    <t>/*ACC_OK开关*/</t>
  </si>
  <si>
    <t>0:关 1:开（JWP使用，其他机种暂未使用）</t>
  </si>
  <si>
    <t>JWP</t>
  </si>
  <si>
    <t>累加笔数</t>
  </si>
  <si>
    <t>#define M_PACKAGE_NUM_SIZE</t>
  </si>
  <si>
    <t>#define M_PACKAGE_NUM_ADDR</t>
  </si>
  <si>
    <t>/*累加笔数*/</t>
  </si>
  <si>
    <t>所有机种写入</t>
  </si>
  <si>
    <t>不稳定扣重开关</t>
  </si>
  <si>
    <t>#define M_NOSTABLE_TARE_SIZE</t>
  </si>
  <si>
    <t>#define M_NOSTABLE_TARE_ADDR</t>
  </si>
  <si>
    <t>/*不稳定扣重开关*/</t>
  </si>
  <si>
    <t>0:关 1:开  （小天平使用，其他机种暂未使用）</t>
  </si>
  <si>
    <t>高精度小天平（非认证版）</t>
  </si>
  <si>
    <t>不稳定扣重等待时间</t>
  </si>
  <si>
    <t>#define M_NOSTABLE_TARE_TIME_SIZE</t>
  </si>
  <si>
    <t>#define M_NOSTABLE_TARE_TIME_ADDR</t>
  </si>
  <si>
    <t>/*不稳定扣重等待时间*/</t>
  </si>
  <si>
    <t>（小天平使用，其他机种暂未使用）</t>
  </si>
  <si>
    <t>超量程标定点内码</t>
  </si>
  <si>
    <t>#define M_CAL_ENCODE_SIZE</t>
  </si>
  <si>
    <t>#define M_CAL_OL_ENCODE_ADDR</t>
  </si>
  <si>
    <t>用于自动标定，不需要写入</t>
  </si>
  <si>
    <t>超量程标定点内码对应的重量值</t>
  </si>
  <si>
    <t>#define M_CAL_WEIGHT_SIZE</t>
  </si>
  <si>
    <t>#define M_CAL_OL_WEIGHT_ADDR</t>
  </si>
  <si>
    <t>手动选税开关</t>
  </si>
  <si>
    <t>#define M_TAX_USER_SIZE</t>
  </si>
  <si>
    <t>#define M_TAX_USER _ADDR</t>
  </si>
  <si>
    <t>/*手动选税开关*/</t>
  </si>
  <si>
    <t>查看报表开关</t>
  </si>
  <si>
    <t>#define M_CHECK_PORT_SWITCH_SIZE</t>
  </si>
  <si>
    <t>#define M_CHECK_PORT_SWITCH_ADDR</t>
  </si>
  <si>
    <t>/*查看报表开关*/</t>
  </si>
  <si>
    <t>累加笔数保存开关</t>
  </si>
  <si>
    <t>#define M_ADD_COUNT_SAVE_SWITCH_SIZE</t>
  </si>
  <si>
    <t>#define M_ADD_COUNT_SAVE_SWITCH_ADDR</t>
  </si>
  <si>
    <t>/*累加笔数保存开关*/</t>
  </si>
  <si>
    <t>0是关，1是开</t>
  </si>
  <si>
    <t>UL次数</t>
  </si>
  <si>
    <t>#define M_UL_TIME_SIZE</t>
  </si>
  <si>
    <t>#define M_UL_TIME_ADDR</t>
  </si>
  <si>
    <t>/*UL次数*/</t>
  </si>
  <si>
    <t>OL次数</t>
  </si>
  <si>
    <t>#define M_OL_TIME_SIZE</t>
  </si>
  <si>
    <t>#define M_OL_TIME_ADDR</t>
  </si>
  <si>
    <t>/*OL次数*/</t>
  </si>
  <si>
    <t>开机次数</t>
  </si>
  <si>
    <t>#define M_POWER_ON_TIMES_SIZE</t>
  </si>
  <si>
    <t>#define M_POWER_ON_TIMES_ADDR</t>
  </si>
  <si>
    <t>/*开机次数*/</t>
  </si>
  <si>
    <t>正常关机标志位</t>
  </si>
  <si>
    <t>#define M_NORMAL_POWER_OFF_FLAG_SIZE</t>
  </si>
  <si>
    <t>#define M_NORMAL_POWER_OFF_FLAG_ADDR</t>
  </si>
  <si>
    <t>/*正常关机标志位*/</t>
  </si>
  <si>
    <t>不正常关机次数</t>
  </si>
  <si>
    <t>#define M_ABNORMAL_POWER_OFF_TIMES_SIZE</t>
  </si>
  <si>
    <t>#define M_ABNORMAL_POWER_OFF_TIMES_ADDR</t>
  </si>
  <si>
    <t>/*不正常关机次数*/</t>
  </si>
  <si>
    <t>称重次数</t>
  </si>
  <si>
    <t>#define M_WEIGHING_TIMES_SIZE</t>
  </si>
  <si>
    <t>#define M_WEIGHING_TIMES_ADDR</t>
  </si>
  <si>
    <t>/*称重次数*/</t>
  </si>
  <si>
    <t>系统运行10分钟次数</t>
  </si>
  <si>
    <t>#define M_SYSTEM_RUN_10_MIN_TIMES_SIZE</t>
  </si>
  <si>
    <t>#define M_SYSTEM_RUN_10_MIN_TIMES_ADDR</t>
  </si>
  <si>
    <t>/*系统运行10分钟次数*/</t>
  </si>
  <si>
    <t>校正开关按下次数</t>
  </si>
  <si>
    <t>#define M_CAL_KEY_PRESS_TIMES_SIZE</t>
  </si>
  <si>
    <t>#define M_CAL_KEY_PRESS_TIMES_ADDR</t>
  </si>
  <si>
    <t>/*校正开关按下次数*/</t>
  </si>
  <si>
    <t>err4次数</t>
  </si>
  <si>
    <t>#define M_ERR4_TIMES_SIZE</t>
  </si>
  <si>
    <t>#define M_ERR4_TIMES_ADDR</t>
  </si>
  <si>
    <t>/*err4次数*/</t>
  </si>
  <si>
    <t>err19次数</t>
  </si>
  <si>
    <t>#define M_ERR19_TIMES_SIZE</t>
  </si>
  <si>
    <t>#define M_ERR19_TIMES_ADDR</t>
  </si>
  <si>
    <t>/*err19次数*/</t>
  </si>
  <si>
    <t>自动取消扣重</t>
  </si>
  <si>
    <t>#define M_AUTO_CANCEL_TARE_SIZE</t>
  </si>
  <si>
    <t>#define M_AUTO_CANCEL_TARE_ADDR</t>
  </si>
  <si>
    <t>/*自动取消扣重*/</t>
  </si>
  <si>
    <t>不写入默认关</t>
  </si>
  <si>
    <t>仅允许零点扣重</t>
  </si>
  <si>
    <t>#define M_PTARE_ONLY_ZERO_SW_SIZE</t>
  </si>
  <si>
    <t>#define M_PTARE_ONLY_ZERO_SW_ADDR</t>
  </si>
  <si>
    <t>/*仅允许零点扣重*/</t>
  </si>
  <si>
    <t>此功能只在秤上预扣重及dialog0204\06协议生效</t>
  </si>
  <si>
    <t>直接PLU1按键对应的PLU号</t>
  </si>
  <si>
    <t>#define M_PLU_KEY_TO_PLU_NUM_SIZE</t>
  </si>
  <si>
    <t>#define M_PLU_KEY1_TO_PLU_NUM_ADDR</t>
  </si>
  <si>
    <t>/*直接PLU1按键对应的PLU号*/</t>
  </si>
  <si>
    <t>不写入默认1</t>
  </si>
  <si>
    <t>直接PLU2按键对应的PLU号</t>
  </si>
  <si>
    <t>#define M_PLU_KEY2_TO_PLU_NUM_ADDR</t>
  </si>
  <si>
    <t>/*直接PLU2按键对应的PLU号*/</t>
  </si>
  <si>
    <t>不写入默认2</t>
  </si>
  <si>
    <t>直接PLU3按键对应的PLU号</t>
  </si>
  <si>
    <t>#define M_PLU_KEY3_TO_PLU_NUM_ADDR</t>
  </si>
  <si>
    <t>/*直接PLU3按键对应的PLU号*/</t>
  </si>
  <si>
    <t>不写入默认3</t>
  </si>
  <si>
    <t>直接PLU4按键对应的PLU号</t>
  </si>
  <si>
    <t>#define M_PLU_KEY4_TO_PLU_NUM_ADDR</t>
  </si>
  <si>
    <t>/*直接PLU4按键对应的PLU号*/</t>
  </si>
  <si>
    <t>不写入默认4</t>
  </si>
  <si>
    <t>直接PLU5按键对应的PLU号</t>
  </si>
  <si>
    <t>#define M_PLU_KEY5_TO_PLU_NUM_ADDR</t>
  </si>
  <si>
    <t>/*直接PLU5按键对应的PLU号*/</t>
  </si>
  <si>
    <t>不写入默认5</t>
  </si>
  <si>
    <t>直接PLU6按键对应的PLU号</t>
  </si>
  <si>
    <t>#define M_PLU_KEY6_TO_PLU_NUM_ADDR</t>
  </si>
  <si>
    <t>/*直接PLU6按键对应的PLU号*/</t>
  </si>
  <si>
    <t>不写入默认6</t>
  </si>
  <si>
    <t>直接PLU7按键对应的PLU号</t>
  </si>
  <si>
    <t>#define M_PLU_KEY7_TO_PLU_NUM_ADDR</t>
  </si>
  <si>
    <t>/*直接PLU7按键对应的PLU号*/</t>
  </si>
  <si>
    <t>不写入默认7</t>
  </si>
  <si>
    <t>直接PLU8按键对应的PLU号</t>
  </si>
  <si>
    <t>#define M_PLU_KEY8_TO_PLU_NUM_ADDR</t>
  </si>
  <si>
    <t>/*直接PLU8按键对应的PLU号*/</t>
  </si>
  <si>
    <t>不写入默认8</t>
  </si>
  <si>
    <t>直接PLU9按键对应的PLU号</t>
  </si>
  <si>
    <t>#define M_PLU_KEY9_TO_PLU_NUM_ADDR</t>
  </si>
  <si>
    <t>/*直接PLU9按键对应的PLU号*/</t>
  </si>
  <si>
    <t>不写入默认9</t>
  </si>
  <si>
    <t>直接PLU10按键对应的PLU号</t>
  </si>
  <si>
    <t>#define M_PLU_KEY10_TO_PLU_NUM_ADDR</t>
  </si>
  <si>
    <t>/*直接PLU10按键对应的PLU号*/</t>
  </si>
  <si>
    <t>不写入默认10</t>
  </si>
  <si>
    <t>直接PLU11按键对应的PLU号</t>
  </si>
  <si>
    <t>#define M_PLU_KEY11_TO_PLU_NUM_ADDR</t>
  </si>
  <si>
    <t>/*直接PLU11按键对应的PLU号*/</t>
  </si>
  <si>
    <t>不写入默认11</t>
  </si>
  <si>
    <t>直接PLU12按键对应的PLU号</t>
  </si>
  <si>
    <t>#define M_PLU_KEY12_TO_PLU_NUM_ADDR</t>
  </si>
  <si>
    <t>/*直接PLU12按键对应的PLU号*/</t>
  </si>
  <si>
    <t>不写入默认12</t>
  </si>
  <si>
    <t>有线网络DHCP开关</t>
  </si>
  <si>
    <t>#define M_NET_DHCP_SW_SIZE</t>
  </si>
  <si>
    <t>#define M_NET_DHCP_SW_ADDR</t>
  </si>
  <si>
    <t>不写默认OFF</t>
  </si>
  <si>
    <t>有线网络网关地址</t>
  </si>
  <si>
    <t>#define M_NET_GATEWAY_SIZE</t>
  </si>
  <si>
    <t>#define M_NET_GATEWAY_ADDR</t>
  </si>
  <si>
    <t>有线网络掩码地址</t>
  </si>
  <si>
    <t>#define M_NET_MASK_SIZE</t>
  </si>
  <si>
    <t>#define M_NET_MASK_ADDR</t>
  </si>
  <si>
    <t>有线网络远端IP</t>
  </si>
  <si>
    <t>#define M_NET_REMOTE_IP_SIZE</t>
  </si>
  <si>
    <t>#define M_NET_REMOTE_IP_ADDR</t>
  </si>
  <si>
    <t>标定点1重量</t>
  </si>
  <si>
    <t>#define M_CAL_1_WEIGHT_ADDR</t>
  </si>
  <si>
    <t>标定点2重量</t>
  </si>
  <si>
    <t>#define M_CAL_2_WEIGHT_ADDR</t>
  </si>
  <si>
    <t>标定点3重量</t>
  </si>
  <si>
    <t>#define M_CAL_3_WEIGHT_ADDR</t>
  </si>
  <si>
    <t>标定点4重量</t>
  </si>
  <si>
    <t>#define M_CAL_4_WEIGHT_ADDR</t>
  </si>
  <si>
    <t>标定点5重量</t>
  </si>
  <si>
    <t>#define M_CAL_5_WEIGHT_ADDR</t>
  </si>
  <si>
    <t>低量程标定点内码</t>
  </si>
  <si>
    <t>#define M_CAL_UL_ENCODE_ADDR</t>
  </si>
  <si>
    <t>低量程标定点内码对应的重量值</t>
  </si>
  <si>
    <t>#define M_CAL_UL_WEIGHT_SIZE</t>
  </si>
  <si>
    <t>#define M_CAL_UL_WEIGHT_ADDR</t>
  </si>
  <si>
    <t>超量程回程内码</t>
  </si>
  <si>
    <t>#define M_BACK_CAL_OL_ENCODE_ADDR</t>
  </si>
  <si>
    <t>低量程回程内码</t>
  </si>
  <si>
    <t>#define M_BACK_CAL_UL_ENCODE_ADDR</t>
  </si>
  <si>
    <t>选择PCS时保存的PCS重量</t>
  </si>
  <si>
    <t>#define M_PCS_WEIGHT_SIZE</t>
  </si>
  <si>
    <t>#define M_PCS_WEIGHT_ADDR</t>
  </si>
  <si>
    <t>单重自动修正bit开关</t>
  </si>
  <si>
    <t>#define M_PCS_WEIGHT_AUTO_FIX_SW_BIT</t>
  </si>
  <si>
    <t>#define M_PCS_WEIGHT_AUTO_FIX_SW_BIT_ADDR</t>
  </si>
  <si>
    <t>bit:1，默认ON</t>
  </si>
  <si>
    <t>计价输入价格bit开关</t>
  </si>
  <si>
    <t>#define M_INPUT_PRICE_SW_BIT</t>
  </si>
  <si>
    <t>#define M_INPUT_PRICE_SW_BIT_ADDR</t>
  </si>
  <si>
    <t>bit:2，默认ON</t>
  </si>
  <si>
    <t>计价输入重量bit开关</t>
  </si>
  <si>
    <t>#define M_INPUT_WEIGHT_SW_BIT</t>
  </si>
  <si>
    <t>#define M_INPUT_WEIGHT_SW_BIT_ADDR</t>
  </si>
  <si>
    <t>bit:3，默认ON</t>
  </si>
  <si>
    <t>允许下发协议发送bit开关</t>
  </si>
  <si>
    <t>#define M_CONT_SEND_FREE_SW_BIT</t>
  </si>
  <si>
    <t>#define M_CONT_SEND_FREE_SW_BIT_ADDR</t>
  </si>
  <si>
    <t>bit:4，默认ON</t>
  </si>
  <si>
    <t>找零显示时长</t>
  </si>
  <si>
    <t>#define M_PAY_WAIT_TIME_SIZE</t>
  </si>
  <si>
    <t>#define M_PAY_WAIT_TIME_ADDR</t>
  </si>
  <si>
    <t>默认0</t>
  </si>
  <si>
    <t>标定点7内码值</t>
  </si>
  <si>
    <t>#define M_CAL_7_SIZE</t>
  </si>
  <si>
    <t>#define M_CAL_7_ADDR</t>
  </si>
  <si>
    <t>回程标定点7内码值</t>
  </si>
  <si>
    <t>#define M_BACK_CAL_7_SIZE</t>
  </si>
  <si>
    <t>#define M_BACK_CAL_7_ADDR</t>
  </si>
  <si>
    <t>打印格式PCS格式</t>
  </si>
  <si>
    <t>#define M_PRINT_PCS_SIZE</t>
  </si>
  <si>
    <t>#define M_PRINT_PCS_ADDR</t>
  </si>
  <si>
    <t>目前仅用于T2200P，打印PCS时选择的打印格式</t>
  </si>
  <si>
    <t>不写默认格式5</t>
  </si>
  <si>
    <t>打印格式PCT格式</t>
  </si>
  <si>
    <t>#define M_PRINT_PCT_SIZE</t>
  </si>
  <si>
    <t>#define M_PRINT_PCT_ADDR</t>
  </si>
  <si>
    <t>目前仅用于T2201P，打印PCT时选择的打印格式</t>
  </si>
  <si>
    <t>不写默认格式7</t>
  </si>
  <si>
    <t>打印格式ACC格式</t>
  </si>
  <si>
    <t>#define M_PRINT_ACC_SIZE</t>
  </si>
  <si>
    <t>#define M_PRINT_ACC_ADDR</t>
  </si>
  <si>
    <t>目前仅用于T2202P，打印ACC时选择的打印格式</t>
  </si>
  <si>
    <t>不写默认格式9</t>
  </si>
  <si>
    <t>单重单位</t>
  </si>
  <si>
    <t>#define M_PCS_UNIT_SIZE</t>
  </si>
  <si>
    <t>#define M_PCS_UNIT_ADDR</t>
  </si>
  <si>
    <t>上下限单位</t>
  </si>
  <si>
    <t>#define M_LIMIT_UNIT_SIZE</t>
  </si>
  <si>
    <t>#define M_LIMIT_UNIT_ADDR</t>
  </si>
  <si>
    <t>单重小数点位数</t>
  </si>
  <si>
    <t>#define M_PCS_DECI_SIZE</t>
  </si>
  <si>
    <t>#define M_PCS_DECI_ADDR</t>
  </si>
  <si>
    <t>总数</t>
  </si>
  <si>
    <r>
      <t xml:space="preserve">绿色背景表示使用一个bit来储存数据，一个地址可以保存8个开关，实际的使用位放到备注里
</t>
    </r>
    <r>
      <rPr>
        <sz val="20"/>
        <color rgb="FF00B050"/>
        <rFont val="宋体"/>
        <charset val="134"/>
      </rPr>
      <t>下方还有地址</t>
    </r>
  </si>
  <si>
    <t>工厂信息</t>
  </si>
  <si>
    <t>铅封开关</t>
  </si>
  <si>
    <t>M_SEAL_KEY_SW_SIZE</t>
  </si>
  <si>
    <t>M_SEAL_KEY_SW_ADDR</t>
  </si>
  <si>
    <t>默认关</t>
  </si>
  <si>
    <t>铅封key</t>
  </si>
  <si>
    <t>M_SEAL_KEY_SIZE</t>
  </si>
  <si>
    <t>M_SEAL_KEY_ADDR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</si>
</sst>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</font>
    <font>
      <sz val="11"/>
      <color rgb="FF92D05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7"/>
      <name val="微软雅黑"/>
      <charset val="134"/>
    </font>
    <font>
      <sz val="10"/>
      <color rgb="FFFF0000"/>
      <name val="微软雅黑"/>
      <charset val="134"/>
    </font>
    <font>
      <sz val="10"/>
      <color theme="0" tint="-0.25"/>
      <name val="微软雅黑"/>
      <charset val="134"/>
    </font>
    <font>
      <sz val="10"/>
      <name val="微软雅黑"/>
      <charset val="134"/>
    </font>
    <font>
      <sz val="10"/>
      <color rgb="FF00B050"/>
      <name val="微软雅黑"/>
      <charset val="134"/>
    </font>
    <font>
      <sz val="10"/>
      <color rgb="FF92D050"/>
      <name val="微软雅黑"/>
      <charset val="134"/>
    </font>
    <font>
      <sz val="20"/>
      <color theme="9" tint="-0.25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50"/>
      <name val="宋体"/>
      <charset val="134"/>
    </font>
    <font>
      <sz val="20"/>
      <color rgb="FF00B05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Border="0" applyAlignment="0" applyProtection="0"/>
    <xf numFmtId="44" fontId="16" fillId="0" borderId="0" applyBorder="0" applyAlignment="0" applyProtection="0"/>
    <xf numFmtId="9" fontId="16" fillId="0" borderId="0" applyBorder="0" applyAlignment="0" applyProtection="0"/>
    <xf numFmtId="41" fontId="16" fillId="0" borderId="0" applyBorder="0" applyAlignment="0" applyProtection="0"/>
    <xf numFmtId="42" fontId="1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6" borderId="17" applyNumberFormat="0" applyAlignment="0" applyProtection="0">
      <alignment vertical="center"/>
    </xf>
    <xf numFmtId="0" fontId="29" fillId="7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5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right" vertical="center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right" vertical="center"/>
    </xf>
    <xf numFmtId="0" fontId="6" fillId="0" borderId="5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/>
    </xf>
    <xf numFmtId="0" fontId="9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8" fillId="2" borderId="1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center" vertical="center"/>
    </xf>
    <xf numFmtId="11" fontId="7" fillId="0" borderId="1" xfId="0" applyNumberFormat="1" applyFont="1" applyBorder="1" applyAlignment="1" applyProtection="1">
      <alignment horizontal="left" vertical="center"/>
    </xf>
    <xf numFmtId="0" fontId="13" fillId="0" borderId="1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left" vertical="center"/>
    </xf>
    <xf numFmtId="0" fontId="0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6" fillId="3" borderId="3" xfId="0" applyFont="1" applyFill="1" applyBorder="1" applyAlignment="1" applyProtection="1">
      <alignment horizontal="left" vertical="center"/>
    </xf>
    <xf numFmtId="0" fontId="2" fillId="3" borderId="3" xfId="0" applyFont="1" applyFill="1" applyBorder="1" applyAlignment="1" applyProtection="1">
      <alignment horizontal="left" vertical="center"/>
    </xf>
    <xf numFmtId="0" fontId="6" fillId="3" borderId="3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right" vertical="center"/>
    </xf>
    <xf numFmtId="0" fontId="6" fillId="0" borderId="3" xfId="0" applyFont="1" applyBorder="1" applyAlignment="1" applyProtection="1">
      <alignment horizontal="right" vertical="center"/>
    </xf>
    <xf numFmtId="0" fontId="15" fillId="0" borderId="6" xfId="0" applyFont="1" applyBorder="1" applyAlignment="1" applyProtection="1">
      <alignment horizontal="center" vertical="center" wrapText="1"/>
    </xf>
    <xf numFmtId="0" fontId="15" fillId="0" borderId="7" xfId="0" applyFont="1" applyBorder="1" applyAlignment="1" applyProtection="1">
      <alignment horizontal="center" vertical="center" wrapText="1"/>
    </xf>
    <xf numFmtId="0" fontId="15" fillId="0" borderId="8" xfId="0" applyFont="1" applyBorder="1" applyAlignment="1" applyProtection="1">
      <alignment horizontal="center" vertical="center" wrapText="1"/>
    </xf>
    <xf numFmtId="0" fontId="15" fillId="0" borderId="9" xfId="0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horizontal="center" vertical="center" wrapText="1"/>
    </xf>
    <xf numFmtId="0" fontId="15" fillId="0" borderId="10" xfId="0" applyFont="1" applyBorder="1" applyAlignment="1" applyProtection="1">
      <alignment horizontal="center" vertical="center" wrapText="1"/>
    </xf>
    <xf numFmtId="0" fontId="15" fillId="0" borderId="11" xfId="0" applyFont="1" applyBorder="1" applyAlignment="1" applyProtection="1">
      <alignment horizontal="center" vertical="center" wrapText="1"/>
    </xf>
    <xf numFmtId="0" fontId="15" fillId="0" borderId="12" xfId="0" applyFont="1" applyBorder="1" applyAlignment="1" applyProtection="1">
      <alignment horizontal="center" vertical="center" wrapText="1"/>
    </xf>
    <xf numFmtId="0" fontId="15" fillId="0" borderId="13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left" vertical="center"/>
    </xf>
    <xf numFmtId="0" fontId="2" fillId="3" borderId="1" xfId="0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75BD42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4"/>
  <sheetViews>
    <sheetView tabSelected="1" zoomScale="85" zoomScaleNormal="85" topLeftCell="B213" workbookViewId="0">
      <selection activeCell="D226" sqref="D226:J226"/>
    </sheetView>
  </sheetViews>
  <sheetFormatPr defaultColWidth="9" defaultRowHeight="13.5"/>
  <cols>
    <col min="1" max="1" width="9.11666666666667" style="3" customWidth="1"/>
    <col min="2" max="2" width="8.65833333333333" style="4" customWidth="1"/>
    <col min="3" max="3" width="6.90833333333333" style="3" customWidth="1"/>
    <col min="4" max="4" width="32.3583333333333" style="3" customWidth="1"/>
    <col min="5" max="5" width="62.2" style="3" customWidth="1"/>
    <col min="6" max="6" width="7.95" style="3" customWidth="1"/>
    <col min="7" max="7" width="41.0416666666667" style="3" customWidth="1"/>
    <col min="8" max="8" width="7.75833333333333" style="3" customWidth="1"/>
    <col min="9" max="9" width="13.5" style="3" customWidth="1"/>
    <col min="10" max="10" width="30.7416666666667" style="3" customWidth="1"/>
    <col min="11" max="11" width="20" style="3" customWidth="1"/>
    <col min="12" max="12" width="37.7833333333333" style="5" customWidth="1"/>
    <col min="13" max="13" width="28.0916666666667" style="3" customWidth="1"/>
  </cols>
  <sheetData>
    <row r="1" ht="16.5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6"/>
    </row>
    <row r="2" ht="21" spans="1:13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1" t="s">
        <v>7</v>
      </c>
      <c r="H2" s="13"/>
      <c r="I2" s="27" t="s">
        <v>8</v>
      </c>
      <c r="J2" s="10" t="s">
        <v>9</v>
      </c>
      <c r="K2" s="6" t="s">
        <v>10</v>
      </c>
      <c r="L2" s="28" t="s">
        <v>11</v>
      </c>
      <c r="M2" s="26"/>
    </row>
    <row r="3" ht="20.25" customHeight="1" spans="1:13">
      <c r="A3" s="14" t="s">
        <v>12</v>
      </c>
      <c r="B3" s="15" t="s">
        <v>13</v>
      </c>
      <c r="C3" s="16">
        <f>SUM(F51,K51)</f>
        <v>103</v>
      </c>
      <c r="D3" s="17" t="s">
        <v>14</v>
      </c>
      <c r="E3" s="18" t="s">
        <v>15</v>
      </c>
      <c r="F3" s="19">
        <v>1</v>
      </c>
      <c r="G3" s="18" t="s">
        <v>16</v>
      </c>
      <c r="H3" s="20" t="s">
        <v>17</v>
      </c>
      <c r="I3" s="29" t="str">
        <f t="shared" ref="I3:I66" si="0">DEC2HEX(K3)</f>
        <v>0</v>
      </c>
      <c r="J3" s="21" t="s">
        <v>18</v>
      </c>
      <c r="K3" s="7">
        <v>0</v>
      </c>
      <c r="L3" s="30" t="s">
        <v>19</v>
      </c>
      <c r="M3" s="26"/>
    </row>
    <row r="4" ht="20.25" spans="1:13">
      <c r="A4" s="14"/>
      <c r="B4" s="15"/>
      <c r="C4" s="16"/>
      <c r="D4" s="17" t="s">
        <v>20</v>
      </c>
      <c r="E4" s="18" t="s">
        <v>21</v>
      </c>
      <c r="F4" s="19">
        <v>4</v>
      </c>
      <c r="G4" s="18" t="s">
        <v>22</v>
      </c>
      <c r="H4" s="20" t="s">
        <v>17</v>
      </c>
      <c r="I4" s="29" t="str">
        <f t="shared" si="0"/>
        <v>1</v>
      </c>
      <c r="J4" s="21" t="s">
        <v>23</v>
      </c>
      <c r="K4" s="7">
        <f t="shared" ref="K4:K53" si="1">F3+K3</f>
        <v>1</v>
      </c>
      <c r="L4" s="30" t="s">
        <v>19</v>
      </c>
      <c r="M4" s="26"/>
    </row>
    <row r="5" ht="20.25" spans="1:13">
      <c r="A5" s="14"/>
      <c r="B5" s="15"/>
      <c r="C5" s="16"/>
      <c r="D5" s="17" t="s">
        <v>24</v>
      </c>
      <c r="E5" s="18" t="s">
        <v>25</v>
      </c>
      <c r="F5" s="19">
        <v>4</v>
      </c>
      <c r="G5" s="18" t="s">
        <v>26</v>
      </c>
      <c r="H5" s="20" t="s">
        <v>17</v>
      </c>
      <c r="I5" s="29" t="str">
        <f t="shared" si="0"/>
        <v>5</v>
      </c>
      <c r="J5" s="21" t="s">
        <v>27</v>
      </c>
      <c r="K5" s="7">
        <f t="shared" si="1"/>
        <v>5</v>
      </c>
      <c r="L5" s="30" t="s">
        <v>19</v>
      </c>
      <c r="M5" s="26"/>
    </row>
    <row r="6" ht="20.25" spans="1:13">
      <c r="A6" s="14"/>
      <c r="B6" s="15"/>
      <c r="C6" s="16"/>
      <c r="D6" s="17" t="s">
        <v>28</v>
      </c>
      <c r="E6" s="18" t="s">
        <v>29</v>
      </c>
      <c r="F6" s="19">
        <v>4</v>
      </c>
      <c r="G6" s="18" t="s">
        <v>30</v>
      </c>
      <c r="H6" s="20" t="s">
        <v>17</v>
      </c>
      <c r="I6" s="29" t="str">
        <f t="shared" si="0"/>
        <v>9</v>
      </c>
      <c r="J6" s="21" t="s">
        <v>31</v>
      </c>
      <c r="K6" s="7">
        <f t="shared" si="1"/>
        <v>9</v>
      </c>
      <c r="L6" s="30" t="s">
        <v>19</v>
      </c>
      <c r="M6" s="26"/>
    </row>
    <row r="7" ht="20.25" spans="1:13">
      <c r="A7" s="14"/>
      <c r="B7" s="15"/>
      <c r="C7" s="16"/>
      <c r="D7" s="17" t="s">
        <v>32</v>
      </c>
      <c r="E7" s="18" t="s">
        <v>33</v>
      </c>
      <c r="F7" s="19">
        <v>4</v>
      </c>
      <c r="G7" s="18" t="s">
        <v>34</v>
      </c>
      <c r="H7" s="20" t="s">
        <v>17</v>
      </c>
      <c r="I7" s="29" t="str">
        <f t="shared" si="0"/>
        <v>D</v>
      </c>
      <c r="J7" s="21" t="s">
        <v>35</v>
      </c>
      <c r="K7" s="7">
        <f t="shared" si="1"/>
        <v>13</v>
      </c>
      <c r="L7" s="30" t="s">
        <v>19</v>
      </c>
      <c r="M7" s="26"/>
    </row>
    <row r="8" ht="20.25" spans="1:13">
      <c r="A8" s="14"/>
      <c r="B8" s="15"/>
      <c r="C8" s="16"/>
      <c r="D8" s="17" t="s">
        <v>36</v>
      </c>
      <c r="E8" s="18" t="s">
        <v>37</v>
      </c>
      <c r="F8" s="19">
        <v>4</v>
      </c>
      <c r="G8" s="18" t="s">
        <v>38</v>
      </c>
      <c r="H8" s="20" t="s">
        <v>17</v>
      </c>
      <c r="I8" s="29" t="str">
        <f t="shared" si="0"/>
        <v>11</v>
      </c>
      <c r="J8" s="21" t="s">
        <v>39</v>
      </c>
      <c r="K8" s="7">
        <f t="shared" si="1"/>
        <v>17</v>
      </c>
      <c r="L8" s="30" t="s">
        <v>19</v>
      </c>
      <c r="M8" s="26"/>
    </row>
    <row r="9" ht="20.25" spans="1:13">
      <c r="A9" s="14"/>
      <c r="B9" s="15"/>
      <c r="C9" s="16"/>
      <c r="D9" s="17" t="s">
        <v>40</v>
      </c>
      <c r="E9" s="18" t="s">
        <v>41</v>
      </c>
      <c r="F9" s="19">
        <v>4</v>
      </c>
      <c r="G9" s="18" t="s">
        <v>42</v>
      </c>
      <c r="H9" s="20" t="s">
        <v>17</v>
      </c>
      <c r="I9" s="29" t="str">
        <f t="shared" si="0"/>
        <v>15</v>
      </c>
      <c r="J9" s="21" t="s">
        <v>43</v>
      </c>
      <c r="K9" s="7">
        <f t="shared" si="1"/>
        <v>21</v>
      </c>
      <c r="L9" s="30" t="s">
        <v>19</v>
      </c>
      <c r="M9" s="26"/>
    </row>
    <row r="10" ht="20.25" spans="1:13">
      <c r="A10" s="14"/>
      <c r="B10" s="15"/>
      <c r="C10" s="16"/>
      <c r="D10" s="17" t="s">
        <v>44</v>
      </c>
      <c r="E10" s="18" t="s">
        <v>45</v>
      </c>
      <c r="F10" s="19">
        <v>4</v>
      </c>
      <c r="G10" s="18" t="s">
        <v>46</v>
      </c>
      <c r="H10" s="20" t="s">
        <v>17</v>
      </c>
      <c r="I10" s="29" t="str">
        <f t="shared" si="0"/>
        <v>19</v>
      </c>
      <c r="J10" s="21" t="s">
        <v>47</v>
      </c>
      <c r="K10" s="7">
        <f t="shared" si="1"/>
        <v>25</v>
      </c>
      <c r="L10" s="30" t="s">
        <v>19</v>
      </c>
      <c r="M10" s="26"/>
    </row>
    <row r="11" ht="20.25" spans="1:13">
      <c r="A11" s="14"/>
      <c r="B11" s="15"/>
      <c r="C11" s="16"/>
      <c r="D11" s="17" t="s">
        <v>48</v>
      </c>
      <c r="E11" s="18" t="s">
        <v>49</v>
      </c>
      <c r="F11" s="19">
        <v>4</v>
      </c>
      <c r="G11" s="18" t="s">
        <v>50</v>
      </c>
      <c r="H11" s="20" t="s">
        <v>17</v>
      </c>
      <c r="I11" s="29" t="str">
        <f t="shared" si="0"/>
        <v>1D</v>
      </c>
      <c r="J11" s="21" t="s">
        <v>51</v>
      </c>
      <c r="K11" s="7">
        <f t="shared" si="1"/>
        <v>29</v>
      </c>
      <c r="L11" s="30" t="s">
        <v>19</v>
      </c>
      <c r="M11" s="26"/>
    </row>
    <row r="12" ht="20.25" spans="1:13">
      <c r="A12" s="14"/>
      <c r="B12" s="15"/>
      <c r="C12" s="16"/>
      <c r="D12" s="17" t="s">
        <v>52</v>
      </c>
      <c r="E12" s="18" t="s">
        <v>53</v>
      </c>
      <c r="F12" s="19">
        <v>4</v>
      </c>
      <c r="G12" s="18" t="s">
        <v>54</v>
      </c>
      <c r="H12" s="20" t="s">
        <v>17</v>
      </c>
      <c r="I12" s="29" t="str">
        <f t="shared" si="0"/>
        <v>21</v>
      </c>
      <c r="J12" s="21" t="s">
        <v>55</v>
      </c>
      <c r="K12" s="7">
        <f t="shared" si="1"/>
        <v>33</v>
      </c>
      <c r="L12" s="30" t="s">
        <v>19</v>
      </c>
      <c r="M12" s="26"/>
    </row>
    <row r="13" ht="20.25" spans="1:13">
      <c r="A13" s="14"/>
      <c r="B13" s="15"/>
      <c r="C13" s="16"/>
      <c r="D13" s="17" t="s">
        <v>56</v>
      </c>
      <c r="E13" s="18" t="s">
        <v>57</v>
      </c>
      <c r="F13" s="19">
        <v>4</v>
      </c>
      <c r="G13" s="18" t="s">
        <v>58</v>
      </c>
      <c r="H13" s="20" t="s">
        <v>17</v>
      </c>
      <c r="I13" s="29" t="str">
        <f t="shared" si="0"/>
        <v>25</v>
      </c>
      <c r="J13" s="21" t="s">
        <v>59</v>
      </c>
      <c r="K13" s="7">
        <f t="shared" si="1"/>
        <v>37</v>
      </c>
      <c r="L13" s="30" t="s">
        <v>19</v>
      </c>
      <c r="M13" s="26"/>
    </row>
    <row r="14" ht="20.25" spans="1:13">
      <c r="A14" s="14"/>
      <c r="B14" s="15"/>
      <c r="C14" s="16"/>
      <c r="D14" s="17" t="s">
        <v>60</v>
      </c>
      <c r="E14" s="18" t="s">
        <v>61</v>
      </c>
      <c r="F14" s="19">
        <v>4</v>
      </c>
      <c r="G14" s="18" t="s">
        <v>62</v>
      </c>
      <c r="H14" s="20" t="s">
        <v>17</v>
      </c>
      <c r="I14" s="29" t="str">
        <f t="shared" si="0"/>
        <v>29</v>
      </c>
      <c r="J14" s="21" t="s">
        <v>63</v>
      </c>
      <c r="K14" s="7">
        <f t="shared" si="1"/>
        <v>41</v>
      </c>
      <c r="L14" s="30" t="s">
        <v>19</v>
      </c>
      <c r="M14" s="26"/>
    </row>
    <row r="15" ht="20.25" spans="1:13">
      <c r="A15" s="14"/>
      <c r="B15" s="15"/>
      <c r="C15" s="16"/>
      <c r="D15" s="17" t="s">
        <v>64</v>
      </c>
      <c r="E15" s="18" t="s">
        <v>65</v>
      </c>
      <c r="F15" s="19">
        <v>4</v>
      </c>
      <c r="G15" s="18" t="s">
        <v>66</v>
      </c>
      <c r="H15" s="20" t="s">
        <v>17</v>
      </c>
      <c r="I15" s="29" t="str">
        <f t="shared" si="0"/>
        <v>2D</v>
      </c>
      <c r="J15" s="21" t="s">
        <v>67</v>
      </c>
      <c r="K15" s="7">
        <f t="shared" si="1"/>
        <v>45</v>
      </c>
      <c r="L15" s="30" t="s">
        <v>19</v>
      </c>
      <c r="M15" s="26"/>
    </row>
    <row r="16" ht="20.25" spans="1:13">
      <c r="A16" s="14"/>
      <c r="B16" s="15"/>
      <c r="C16" s="16"/>
      <c r="D16" s="17" t="s">
        <v>68</v>
      </c>
      <c r="E16" s="18" t="s">
        <v>69</v>
      </c>
      <c r="F16" s="19">
        <v>4</v>
      </c>
      <c r="G16" s="18" t="s">
        <v>70</v>
      </c>
      <c r="H16" s="20" t="s">
        <v>17</v>
      </c>
      <c r="I16" s="29" t="str">
        <f t="shared" si="0"/>
        <v>31</v>
      </c>
      <c r="J16" s="21" t="s">
        <v>71</v>
      </c>
      <c r="K16" s="7">
        <f t="shared" si="1"/>
        <v>49</v>
      </c>
      <c r="L16" s="30" t="s">
        <v>19</v>
      </c>
      <c r="M16" s="26"/>
    </row>
    <row r="17" ht="20.25" spans="1:13">
      <c r="A17" s="14"/>
      <c r="B17" s="15"/>
      <c r="C17" s="16"/>
      <c r="D17" s="17" t="s">
        <v>72</v>
      </c>
      <c r="E17" s="18" t="s">
        <v>73</v>
      </c>
      <c r="F17" s="19">
        <v>4</v>
      </c>
      <c r="G17" s="18" t="s">
        <v>74</v>
      </c>
      <c r="H17" s="20" t="s">
        <v>17</v>
      </c>
      <c r="I17" s="29" t="str">
        <f t="shared" si="0"/>
        <v>35</v>
      </c>
      <c r="J17" s="21" t="s">
        <v>75</v>
      </c>
      <c r="K17" s="7">
        <f t="shared" si="1"/>
        <v>53</v>
      </c>
      <c r="L17" s="30" t="s">
        <v>19</v>
      </c>
      <c r="M17" s="26"/>
    </row>
    <row r="18" ht="20.25" spans="1:13">
      <c r="A18" s="14"/>
      <c r="B18" s="15"/>
      <c r="C18" s="16"/>
      <c r="D18" s="21" t="s">
        <v>76</v>
      </c>
      <c r="E18" s="18" t="s">
        <v>77</v>
      </c>
      <c r="F18" s="19">
        <v>4</v>
      </c>
      <c r="G18" s="18" t="s">
        <v>78</v>
      </c>
      <c r="H18" s="20" t="s">
        <v>17</v>
      </c>
      <c r="I18" s="29" t="str">
        <f t="shared" si="0"/>
        <v>39</v>
      </c>
      <c r="J18" s="21" t="s">
        <v>79</v>
      </c>
      <c r="K18" s="7">
        <f t="shared" si="1"/>
        <v>57</v>
      </c>
      <c r="L18" s="30" t="s">
        <v>19</v>
      </c>
      <c r="M18" s="26"/>
    </row>
    <row r="19" ht="20.25" spans="1:13">
      <c r="A19" s="14"/>
      <c r="B19" s="15"/>
      <c r="C19" s="16"/>
      <c r="D19" s="17" t="s">
        <v>80</v>
      </c>
      <c r="E19" s="18" t="s">
        <v>81</v>
      </c>
      <c r="F19" s="19">
        <v>4</v>
      </c>
      <c r="G19" s="18" t="s">
        <v>82</v>
      </c>
      <c r="H19" s="20" t="s">
        <v>17</v>
      </c>
      <c r="I19" s="29" t="str">
        <f t="shared" si="0"/>
        <v>3D</v>
      </c>
      <c r="J19" s="21" t="s">
        <v>83</v>
      </c>
      <c r="K19" s="7">
        <f t="shared" si="1"/>
        <v>61</v>
      </c>
      <c r="L19" s="31" t="s">
        <v>84</v>
      </c>
      <c r="M19" s="26" t="s">
        <v>85</v>
      </c>
    </row>
    <row r="20" ht="20.25" spans="1:13">
      <c r="A20" s="14"/>
      <c r="B20" s="15"/>
      <c r="C20" s="16"/>
      <c r="D20" s="17" t="s">
        <v>86</v>
      </c>
      <c r="E20" s="18" t="s">
        <v>87</v>
      </c>
      <c r="F20" s="19">
        <v>4</v>
      </c>
      <c r="G20" s="18" t="s">
        <v>88</v>
      </c>
      <c r="H20" s="20" t="s">
        <v>17</v>
      </c>
      <c r="I20" s="29" t="str">
        <f t="shared" si="0"/>
        <v>41</v>
      </c>
      <c r="J20" s="21" t="s">
        <v>89</v>
      </c>
      <c r="K20" s="7">
        <f t="shared" si="1"/>
        <v>65</v>
      </c>
      <c r="L20" s="31" t="s">
        <v>84</v>
      </c>
      <c r="M20" s="26" t="s">
        <v>85</v>
      </c>
    </row>
    <row r="21" ht="20.25" spans="1:13">
      <c r="A21" s="14"/>
      <c r="B21" s="15"/>
      <c r="C21" s="16"/>
      <c r="D21" s="17" t="s">
        <v>90</v>
      </c>
      <c r="E21" s="18" t="s">
        <v>91</v>
      </c>
      <c r="F21" s="19">
        <v>1</v>
      </c>
      <c r="G21" s="18" t="s">
        <v>92</v>
      </c>
      <c r="H21" s="20" t="s">
        <v>17</v>
      </c>
      <c r="I21" s="29" t="str">
        <f t="shared" si="0"/>
        <v>45</v>
      </c>
      <c r="J21" s="21" t="s">
        <v>93</v>
      </c>
      <c r="K21" s="7">
        <f t="shared" si="1"/>
        <v>69</v>
      </c>
      <c r="L21" s="31" t="s">
        <v>84</v>
      </c>
      <c r="M21" s="26" t="s">
        <v>85</v>
      </c>
    </row>
    <row r="22" ht="20.25" spans="1:13">
      <c r="A22" s="14"/>
      <c r="B22" s="15"/>
      <c r="C22" s="16"/>
      <c r="D22" s="17" t="s">
        <v>94</v>
      </c>
      <c r="E22" s="18" t="s">
        <v>95</v>
      </c>
      <c r="F22" s="19">
        <v>1</v>
      </c>
      <c r="G22" s="18" t="s">
        <v>96</v>
      </c>
      <c r="H22" s="20" t="s">
        <v>17</v>
      </c>
      <c r="I22" s="29" t="str">
        <f t="shared" si="0"/>
        <v>46</v>
      </c>
      <c r="J22" s="21" t="s">
        <v>97</v>
      </c>
      <c r="K22" s="7">
        <f t="shared" si="1"/>
        <v>70</v>
      </c>
      <c r="L22" s="31" t="s">
        <v>84</v>
      </c>
      <c r="M22" s="26" t="s">
        <v>85</v>
      </c>
    </row>
    <row r="23" ht="20.25" spans="1:13">
      <c r="A23" s="14"/>
      <c r="B23" s="15"/>
      <c r="C23" s="16"/>
      <c r="D23" s="17" t="s">
        <v>98</v>
      </c>
      <c r="E23" s="18" t="s">
        <v>99</v>
      </c>
      <c r="F23" s="19">
        <v>1</v>
      </c>
      <c r="G23" s="18" t="s">
        <v>100</v>
      </c>
      <c r="H23" s="20" t="s">
        <v>17</v>
      </c>
      <c r="I23" s="29" t="str">
        <f t="shared" si="0"/>
        <v>47</v>
      </c>
      <c r="J23" s="21" t="s">
        <v>101</v>
      </c>
      <c r="K23" s="7">
        <f t="shared" si="1"/>
        <v>71</v>
      </c>
      <c r="L23" s="28" t="s">
        <v>102</v>
      </c>
      <c r="M23" s="26"/>
    </row>
    <row r="24" ht="20.25" spans="1:13">
      <c r="A24" s="14"/>
      <c r="B24" s="15"/>
      <c r="C24" s="16"/>
      <c r="D24" s="17" t="s">
        <v>103</v>
      </c>
      <c r="E24" s="18" t="s">
        <v>104</v>
      </c>
      <c r="F24" s="19">
        <v>1</v>
      </c>
      <c r="G24" s="18" t="s">
        <v>105</v>
      </c>
      <c r="H24" s="20" t="s">
        <v>17</v>
      </c>
      <c r="I24" s="29" t="str">
        <f t="shared" si="0"/>
        <v>48</v>
      </c>
      <c r="J24" s="21" t="s">
        <v>106</v>
      </c>
      <c r="K24" s="7">
        <f t="shared" si="1"/>
        <v>72</v>
      </c>
      <c r="L24" s="28" t="s">
        <v>107</v>
      </c>
      <c r="M24" s="26"/>
    </row>
    <row r="25" ht="20.25" spans="1:13">
      <c r="A25" s="14"/>
      <c r="B25" s="15"/>
      <c r="C25" s="16"/>
      <c r="D25" s="17" t="s">
        <v>108</v>
      </c>
      <c r="E25" s="18" t="s">
        <v>109</v>
      </c>
      <c r="F25" s="19">
        <v>1</v>
      </c>
      <c r="G25" s="18" t="s">
        <v>110</v>
      </c>
      <c r="H25" s="20" t="s">
        <v>17</v>
      </c>
      <c r="I25" s="29" t="str">
        <f t="shared" si="0"/>
        <v>49</v>
      </c>
      <c r="J25" s="21" t="s">
        <v>111</v>
      </c>
      <c r="K25" s="7">
        <f t="shared" si="1"/>
        <v>73</v>
      </c>
      <c r="L25" s="28" t="s">
        <v>112</v>
      </c>
      <c r="M25" s="26"/>
    </row>
    <row r="26" ht="20.25" spans="1:13">
      <c r="A26" s="14"/>
      <c r="B26" s="15"/>
      <c r="C26" s="16"/>
      <c r="D26" s="17" t="s">
        <v>113</v>
      </c>
      <c r="E26" s="18" t="s">
        <v>114</v>
      </c>
      <c r="F26" s="19">
        <v>1</v>
      </c>
      <c r="G26" s="18" t="s">
        <v>115</v>
      </c>
      <c r="H26" s="20" t="s">
        <v>17</v>
      </c>
      <c r="I26" s="29" t="str">
        <f t="shared" si="0"/>
        <v>4A</v>
      </c>
      <c r="J26" s="21" t="s">
        <v>116</v>
      </c>
      <c r="K26" s="7">
        <f t="shared" si="1"/>
        <v>74</v>
      </c>
      <c r="L26" s="28" t="s">
        <v>117</v>
      </c>
      <c r="M26" s="26"/>
    </row>
    <row r="27" ht="20.25" spans="1:13">
      <c r="A27" s="14"/>
      <c r="B27" s="15"/>
      <c r="C27" s="16"/>
      <c r="D27" s="17" t="s">
        <v>118</v>
      </c>
      <c r="E27" s="18" t="s">
        <v>119</v>
      </c>
      <c r="F27" s="19">
        <v>1</v>
      </c>
      <c r="G27" s="18" t="s">
        <v>120</v>
      </c>
      <c r="H27" s="20" t="s">
        <v>17</v>
      </c>
      <c r="I27" s="29" t="str">
        <f t="shared" si="0"/>
        <v>4B</v>
      </c>
      <c r="J27" s="21" t="s">
        <v>121</v>
      </c>
      <c r="K27" s="7">
        <f t="shared" si="1"/>
        <v>75</v>
      </c>
      <c r="L27" s="30" t="s">
        <v>122</v>
      </c>
      <c r="M27" s="26"/>
    </row>
    <row r="28" ht="20.25" spans="1:13">
      <c r="A28" s="14"/>
      <c r="B28" s="15"/>
      <c r="C28" s="16"/>
      <c r="D28" s="17" t="s">
        <v>123</v>
      </c>
      <c r="E28" s="18" t="s">
        <v>124</v>
      </c>
      <c r="F28" s="19">
        <v>1</v>
      </c>
      <c r="G28" s="18" t="s">
        <v>125</v>
      </c>
      <c r="H28" s="20" t="s">
        <v>17</v>
      </c>
      <c r="I28" s="29" t="str">
        <f t="shared" si="0"/>
        <v>4C</v>
      </c>
      <c r="J28" s="21" t="s">
        <v>126</v>
      </c>
      <c r="K28" s="7">
        <f t="shared" si="1"/>
        <v>76</v>
      </c>
      <c r="L28" s="28" t="s">
        <v>127</v>
      </c>
      <c r="M28" s="26"/>
    </row>
    <row r="29" ht="20.25" spans="1:13">
      <c r="A29" s="14"/>
      <c r="B29" s="15"/>
      <c r="C29" s="16"/>
      <c r="D29" s="17" t="s">
        <v>128</v>
      </c>
      <c r="E29" s="18" t="s">
        <v>129</v>
      </c>
      <c r="F29" s="19">
        <v>1</v>
      </c>
      <c r="G29" s="18" t="s">
        <v>130</v>
      </c>
      <c r="H29" s="20" t="s">
        <v>17</v>
      </c>
      <c r="I29" s="29" t="str">
        <f t="shared" si="0"/>
        <v>4D</v>
      </c>
      <c r="J29" s="21" t="s">
        <v>131</v>
      </c>
      <c r="K29" s="7">
        <f t="shared" si="1"/>
        <v>77</v>
      </c>
      <c r="L29" s="28" t="s">
        <v>132</v>
      </c>
      <c r="M29" s="26"/>
    </row>
    <row r="30" ht="20.25" spans="1:13">
      <c r="A30" s="14"/>
      <c r="B30" s="15"/>
      <c r="C30" s="16"/>
      <c r="D30" s="17" t="s">
        <v>133</v>
      </c>
      <c r="E30" s="18" t="s">
        <v>134</v>
      </c>
      <c r="F30" s="19">
        <v>1</v>
      </c>
      <c r="G30" s="18" t="s">
        <v>135</v>
      </c>
      <c r="H30" s="20" t="s">
        <v>17</v>
      </c>
      <c r="I30" s="29" t="str">
        <f t="shared" si="0"/>
        <v>4E</v>
      </c>
      <c r="J30" s="21" t="s">
        <v>136</v>
      </c>
      <c r="K30" s="7">
        <f t="shared" si="1"/>
        <v>78</v>
      </c>
      <c r="L30" s="30" t="s">
        <v>122</v>
      </c>
      <c r="M30" s="26"/>
    </row>
    <row r="31" ht="20.25" spans="1:13">
      <c r="A31" s="14"/>
      <c r="B31" s="15"/>
      <c r="C31" s="16"/>
      <c r="D31" s="17" t="s">
        <v>137</v>
      </c>
      <c r="E31" s="18" t="s">
        <v>138</v>
      </c>
      <c r="F31" s="19">
        <v>1</v>
      </c>
      <c r="G31" s="18" t="s">
        <v>139</v>
      </c>
      <c r="H31" s="20" t="s">
        <v>17</v>
      </c>
      <c r="I31" s="29" t="str">
        <f t="shared" si="0"/>
        <v>4F</v>
      </c>
      <c r="J31" s="21" t="s">
        <v>140</v>
      </c>
      <c r="K31" s="7">
        <f t="shared" si="1"/>
        <v>79</v>
      </c>
      <c r="L31" s="30" t="s">
        <v>122</v>
      </c>
      <c r="M31" s="26"/>
    </row>
    <row r="32" ht="20.25" spans="1:13">
      <c r="A32" s="14"/>
      <c r="B32" s="15"/>
      <c r="C32" s="16"/>
      <c r="D32" s="17" t="s">
        <v>141</v>
      </c>
      <c r="E32" s="18" t="s">
        <v>142</v>
      </c>
      <c r="F32" s="19">
        <v>1</v>
      </c>
      <c r="G32" s="18" t="s">
        <v>143</v>
      </c>
      <c r="H32" s="20" t="s">
        <v>17</v>
      </c>
      <c r="I32" s="29" t="str">
        <f t="shared" si="0"/>
        <v>50</v>
      </c>
      <c r="J32" s="21" t="s">
        <v>144</v>
      </c>
      <c r="K32" s="7">
        <f t="shared" si="1"/>
        <v>80</v>
      </c>
      <c r="L32" s="30" t="s">
        <v>122</v>
      </c>
      <c r="M32" s="26"/>
    </row>
    <row r="33" ht="20.25" spans="1:13">
      <c r="A33" s="14"/>
      <c r="B33" s="15"/>
      <c r="C33" s="16"/>
      <c r="D33" s="17" t="s">
        <v>145</v>
      </c>
      <c r="E33" s="18" t="s">
        <v>146</v>
      </c>
      <c r="F33" s="19">
        <v>1</v>
      </c>
      <c r="G33" s="18" t="s">
        <v>147</v>
      </c>
      <c r="H33" s="20" t="s">
        <v>17</v>
      </c>
      <c r="I33" s="29" t="str">
        <f t="shared" si="0"/>
        <v>51</v>
      </c>
      <c r="J33" s="21" t="s">
        <v>148</v>
      </c>
      <c r="K33" s="7">
        <f t="shared" si="1"/>
        <v>81</v>
      </c>
      <c r="L33" s="30" t="s">
        <v>122</v>
      </c>
      <c r="M33" s="26"/>
    </row>
    <row r="34" ht="20.25" spans="1:13">
      <c r="A34" s="14"/>
      <c r="B34" s="15"/>
      <c r="C34" s="16"/>
      <c r="D34" s="17" t="s">
        <v>149</v>
      </c>
      <c r="E34" s="18" t="s">
        <v>150</v>
      </c>
      <c r="F34" s="19">
        <v>1</v>
      </c>
      <c r="G34" s="18" t="s">
        <v>151</v>
      </c>
      <c r="H34" s="20" t="s">
        <v>17</v>
      </c>
      <c r="I34" s="29" t="str">
        <f t="shared" si="0"/>
        <v>52</v>
      </c>
      <c r="J34" s="21" t="s">
        <v>152</v>
      </c>
      <c r="K34" s="7">
        <f t="shared" si="1"/>
        <v>82</v>
      </c>
      <c r="L34" s="30" t="s">
        <v>122</v>
      </c>
      <c r="M34" s="26"/>
    </row>
    <row r="35" ht="20.25" spans="1:13">
      <c r="A35" s="14"/>
      <c r="B35" s="15"/>
      <c r="C35" s="16"/>
      <c r="D35" s="17" t="s">
        <v>153</v>
      </c>
      <c r="E35" s="18" t="s">
        <v>154</v>
      </c>
      <c r="F35" s="19">
        <v>1</v>
      </c>
      <c r="G35" s="18" t="s">
        <v>155</v>
      </c>
      <c r="H35" s="20" t="s">
        <v>17</v>
      </c>
      <c r="I35" s="29" t="str">
        <f t="shared" si="0"/>
        <v>53</v>
      </c>
      <c r="J35" s="21" t="s">
        <v>156</v>
      </c>
      <c r="K35" s="7">
        <f t="shared" si="1"/>
        <v>83</v>
      </c>
      <c r="L35" s="30" t="s">
        <v>122</v>
      </c>
      <c r="M35" s="26"/>
    </row>
    <row r="36" ht="20.25" spans="1:13">
      <c r="A36" s="14"/>
      <c r="B36" s="15"/>
      <c r="C36" s="16"/>
      <c r="D36" s="17" t="s">
        <v>157</v>
      </c>
      <c r="E36" s="18" t="s">
        <v>158</v>
      </c>
      <c r="F36" s="19">
        <v>1</v>
      </c>
      <c r="G36" s="18" t="s">
        <v>159</v>
      </c>
      <c r="H36" s="20" t="s">
        <v>17</v>
      </c>
      <c r="I36" s="29" t="str">
        <f t="shared" si="0"/>
        <v>54</v>
      </c>
      <c r="J36" s="21" t="s">
        <v>160</v>
      </c>
      <c r="K36" s="7">
        <f t="shared" si="1"/>
        <v>84</v>
      </c>
      <c r="L36" s="30" t="s">
        <v>122</v>
      </c>
      <c r="M36" s="26"/>
    </row>
    <row r="37" ht="20.25" spans="1:13">
      <c r="A37" s="14"/>
      <c r="B37" s="15"/>
      <c r="C37" s="16"/>
      <c r="D37" s="17" t="s">
        <v>161</v>
      </c>
      <c r="E37" s="18" t="s">
        <v>162</v>
      </c>
      <c r="F37" s="19">
        <v>1</v>
      </c>
      <c r="G37" s="18" t="s">
        <v>163</v>
      </c>
      <c r="H37" s="20" t="s">
        <v>17</v>
      </c>
      <c r="I37" s="29" t="str">
        <f t="shared" si="0"/>
        <v>55</v>
      </c>
      <c r="J37" s="21" t="s">
        <v>164</v>
      </c>
      <c r="K37" s="7">
        <f t="shared" si="1"/>
        <v>85</v>
      </c>
      <c r="L37" s="30" t="s">
        <v>122</v>
      </c>
      <c r="M37" s="26"/>
    </row>
    <row r="38" ht="20.25" spans="1:13">
      <c r="A38" s="14"/>
      <c r="B38" s="15"/>
      <c r="C38" s="16"/>
      <c r="D38" s="17" t="s">
        <v>165</v>
      </c>
      <c r="E38" s="18" t="s">
        <v>166</v>
      </c>
      <c r="F38" s="19">
        <v>1</v>
      </c>
      <c r="G38" s="18" t="s">
        <v>167</v>
      </c>
      <c r="H38" s="20" t="s">
        <v>17</v>
      </c>
      <c r="I38" s="29" t="str">
        <f t="shared" si="0"/>
        <v>56</v>
      </c>
      <c r="J38" s="21" t="s">
        <v>168</v>
      </c>
      <c r="K38" s="7">
        <f t="shared" si="1"/>
        <v>86</v>
      </c>
      <c r="L38" s="30" t="s">
        <v>122</v>
      </c>
      <c r="M38" s="26"/>
    </row>
    <row r="39" ht="20.25" spans="1:13">
      <c r="A39" s="14"/>
      <c r="B39" s="15"/>
      <c r="C39" s="16"/>
      <c r="D39" s="17" t="s">
        <v>169</v>
      </c>
      <c r="E39" s="18" t="s">
        <v>170</v>
      </c>
      <c r="F39" s="19">
        <v>1</v>
      </c>
      <c r="G39" s="18" t="s">
        <v>171</v>
      </c>
      <c r="H39" s="20" t="s">
        <v>17</v>
      </c>
      <c r="I39" s="29" t="str">
        <f t="shared" si="0"/>
        <v>57</v>
      </c>
      <c r="J39" s="21" t="s">
        <v>172</v>
      </c>
      <c r="K39" s="7">
        <f t="shared" si="1"/>
        <v>87</v>
      </c>
      <c r="L39" s="30" t="s">
        <v>122</v>
      </c>
      <c r="M39" s="26"/>
    </row>
    <row r="40" ht="20.25" spans="1:13">
      <c r="A40" s="14"/>
      <c r="B40" s="15"/>
      <c r="C40" s="16"/>
      <c r="D40" s="17" t="s">
        <v>173</v>
      </c>
      <c r="E40" s="18" t="s">
        <v>174</v>
      </c>
      <c r="F40" s="19">
        <v>1</v>
      </c>
      <c r="G40" s="18" t="s">
        <v>175</v>
      </c>
      <c r="H40" s="20" t="s">
        <v>17</v>
      </c>
      <c r="I40" s="29" t="str">
        <f t="shared" si="0"/>
        <v>58</v>
      </c>
      <c r="J40" s="21" t="s">
        <v>176</v>
      </c>
      <c r="K40" s="7">
        <f t="shared" si="1"/>
        <v>88</v>
      </c>
      <c r="L40" s="30" t="s">
        <v>122</v>
      </c>
      <c r="M40" s="26"/>
    </row>
    <row r="41" ht="20.25" spans="1:13">
      <c r="A41" s="14"/>
      <c r="B41" s="15"/>
      <c r="C41" s="16"/>
      <c r="D41" s="17" t="s">
        <v>177</v>
      </c>
      <c r="E41" s="18" t="s">
        <v>178</v>
      </c>
      <c r="F41" s="19">
        <v>1</v>
      </c>
      <c r="G41" s="18" t="s">
        <v>179</v>
      </c>
      <c r="H41" s="20" t="s">
        <v>17</v>
      </c>
      <c r="I41" s="29" t="str">
        <f t="shared" si="0"/>
        <v>59</v>
      </c>
      <c r="J41" s="21" t="s">
        <v>180</v>
      </c>
      <c r="K41" s="7">
        <f t="shared" si="1"/>
        <v>89</v>
      </c>
      <c r="L41" s="28" t="s">
        <v>132</v>
      </c>
      <c r="M41" s="26"/>
    </row>
    <row r="42" ht="20.25" spans="1:13">
      <c r="A42" s="14"/>
      <c r="B42" s="15"/>
      <c r="C42" s="16"/>
      <c r="D42" s="17" t="s">
        <v>181</v>
      </c>
      <c r="E42" s="18" t="s">
        <v>182</v>
      </c>
      <c r="F42" s="19">
        <v>1</v>
      </c>
      <c r="G42" s="18" t="s">
        <v>183</v>
      </c>
      <c r="H42" s="20" t="s">
        <v>17</v>
      </c>
      <c r="I42" s="29" t="str">
        <f t="shared" si="0"/>
        <v>5A</v>
      </c>
      <c r="J42" s="21" t="s">
        <v>184</v>
      </c>
      <c r="K42" s="7">
        <f t="shared" si="1"/>
        <v>90</v>
      </c>
      <c r="L42" s="30" t="s">
        <v>122</v>
      </c>
      <c r="M42" s="26"/>
    </row>
    <row r="43" ht="20.25" spans="1:13">
      <c r="A43" s="14"/>
      <c r="B43" s="15"/>
      <c r="C43" s="16"/>
      <c r="D43" s="17" t="s">
        <v>185</v>
      </c>
      <c r="E43" s="18" t="s">
        <v>186</v>
      </c>
      <c r="F43" s="19">
        <v>1</v>
      </c>
      <c r="G43" s="18" t="s">
        <v>187</v>
      </c>
      <c r="H43" s="20" t="s">
        <v>17</v>
      </c>
      <c r="I43" s="29" t="str">
        <f t="shared" si="0"/>
        <v>5B</v>
      </c>
      <c r="J43" s="21" t="s">
        <v>188</v>
      </c>
      <c r="K43" s="7">
        <f t="shared" si="1"/>
        <v>91</v>
      </c>
      <c r="L43" s="30" t="s">
        <v>122</v>
      </c>
      <c r="M43" s="26"/>
    </row>
    <row r="44" ht="20.25" spans="1:13">
      <c r="A44" s="14"/>
      <c r="B44" s="15"/>
      <c r="C44" s="16"/>
      <c r="D44" s="17" t="s">
        <v>189</v>
      </c>
      <c r="E44" s="18" t="s">
        <v>190</v>
      </c>
      <c r="F44" s="19">
        <v>1</v>
      </c>
      <c r="G44" s="18" t="s">
        <v>191</v>
      </c>
      <c r="H44" s="20" t="s">
        <v>17</v>
      </c>
      <c r="I44" s="29" t="str">
        <f t="shared" si="0"/>
        <v>5C</v>
      </c>
      <c r="J44" s="21" t="s">
        <v>192</v>
      </c>
      <c r="K44" s="7">
        <f t="shared" si="1"/>
        <v>92</v>
      </c>
      <c r="L44" s="30" t="s">
        <v>122</v>
      </c>
      <c r="M44" s="26"/>
    </row>
    <row r="45" ht="20.25" spans="1:13">
      <c r="A45" s="14"/>
      <c r="B45" s="15"/>
      <c r="C45" s="16"/>
      <c r="D45" s="17" t="s">
        <v>193</v>
      </c>
      <c r="E45" s="18" t="s">
        <v>194</v>
      </c>
      <c r="F45" s="19">
        <v>1</v>
      </c>
      <c r="G45" s="18" t="s">
        <v>195</v>
      </c>
      <c r="H45" s="20" t="s">
        <v>17</v>
      </c>
      <c r="I45" s="29" t="str">
        <f t="shared" si="0"/>
        <v>5D</v>
      </c>
      <c r="J45" s="21" t="s">
        <v>196</v>
      </c>
      <c r="K45" s="7">
        <f t="shared" si="1"/>
        <v>93</v>
      </c>
      <c r="L45" s="31" t="s">
        <v>84</v>
      </c>
      <c r="M45" s="26"/>
    </row>
    <row r="46" ht="20.25" spans="1:13">
      <c r="A46" s="14"/>
      <c r="B46" s="15"/>
      <c r="C46" s="16"/>
      <c r="D46" s="17" t="s">
        <v>197</v>
      </c>
      <c r="E46" s="18" t="s">
        <v>198</v>
      </c>
      <c r="F46" s="19">
        <v>1</v>
      </c>
      <c r="G46" s="18" t="s">
        <v>199</v>
      </c>
      <c r="H46" s="20" t="s">
        <v>17</v>
      </c>
      <c r="I46" s="29" t="str">
        <f t="shared" si="0"/>
        <v>5E</v>
      </c>
      <c r="J46" s="21" t="s">
        <v>200</v>
      </c>
      <c r="K46" s="7">
        <f t="shared" si="1"/>
        <v>94</v>
      </c>
      <c r="L46" s="28" t="s">
        <v>201</v>
      </c>
      <c r="M46" s="26"/>
    </row>
    <row r="47" ht="20.25" spans="1:13">
      <c r="A47" s="14"/>
      <c r="B47" s="15"/>
      <c r="C47" s="16"/>
      <c r="D47" s="17" t="s">
        <v>202</v>
      </c>
      <c r="E47" s="18" t="s">
        <v>203</v>
      </c>
      <c r="F47" s="19">
        <v>1</v>
      </c>
      <c r="G47" s="18" t="s">
        <v>204</v>
      </c>
      <c r="H47" s="20" t="s">
        <v>17</v>
      </c>
      <c r="I47" s="29" t="str">
        <f t="shared" si="0"/>
        <v>5F</v>
      </c>
      <c r="J47" s="21" t="s">
        <v>205</v>
      </c>
      <c r="K47" s="7">
        <f t="shared" si="1"/>
        <v>95</v>
      </c>
      <c r="L47" s="31" t="s">
        <v>84</v>
      </c>
      <c r="M47" s="26"/>
    </row>
    <row r="48" ht="20.25" spans="1:13">
      <c r="A48" s="14"/>
      <c r="B48" s="15"/>
      <c r="C48" s="16"/>
      <c r="D48" s="17" t="s">
        <v>206</v>
      </c>
      <c r="E48" s="18" t="s">
        <v>207</v>
      </c>
      <c r="F48" s="19">
        <v>2</v>
      </c>
      <c r="G48" s="18" t="s">
        <v>208</v>
      </c>
      <c r="H48" s="20" t="s">
        <v>17</v>
      </c>
      <c r="I48" s="29" t="str">
        <f t="shared" si="0"/>
        <v>60</v>
      </c>
      <c r="J48" s="21" t="s">
        <v>209</v>
      </c>
      <c r="K48" s="7">
        <f t="shared" si="1"/>
        <v>96</v>
      </c>
      <c r="L48" s="30" t="s">
        <v>122</v>
      </c>
      <c r="M48" s="26"/>
    </row>
    <row r="49" ht="20.25" spans="1:13">
      <c r="A49" s="14"/>
      <c r="B49" s="15"/>
      <c r="C49" s="16"/>
      <c r="D49" s="17" t="s">
        <v>210</v>
      </c>
      <c r="E49" s="18" t="s">
        <v>211</v>
      </c>
      <c r="F49" s="19">
        <v>1</v>
      </c>
      <c r="G49" s="18" t="s">
        <v>212</v>
      </c>
      <c r="H49" s="20" t="s">
        <v>17</v>
      </c>
      <c r="I49" s="29" t="str">
        <f t="shared" si="0"/>
        <v>62</v>
      </c>
      <c r="J49" s="21" t="s">
        <v>213</v>
      </c>
      <c r="K49" s="7">
        <f t="shared" si="1"/>
        <v>98</v>
      </c>
      <c r="L49" s="31" t="s">
        <v>84</v>
      </c>
      <c r="M49" s="26"/>
    </row>
    <row r="50" ht="20.25" spans="1:13">
      <c r="A50" s="14"/>
      <c r="B50" s="15"/>
      <c r="C50" s="16"/>
      <c r="D50" s="17" t="s">
        <v>210</v>
      </c>
      <c r="E50" s="18" t="s">
        <v>214</v>
      </c>
      <c r="F50" s="19">
        <v>1</v>
      </c>
      <c r="G50" s="18" t="s">
        <v>215</v>
      </c>
      <c r="H50" s="20" t="s">
        <v>17</v>
      </c>
      <c r="I50" s="29" t="str">
        <f t="shared" si="0"/>
        <v>63</v>
      </c>
      <c r="J50" s="21" t="s">
        <v>216</v>
      </c>
      <c r="K50" s="7">
        <f t="shared" si="1"/>
        <v>99</v>
      </c>
      <c r="L50" s="30" t="s">
        <v>19</v>
      </c>
      <c r="M50" s="26"/>
    </row>
    <row r="51" ht="20.25" spans="1:13">
      <c r="A51" s="14"/>
      <c r="B51" s="15"/>
      <c r="C51" s="16"/>
      <c r="D51" s="22" t="s">
        <v>217</v>
      </c>
      <c r="E51" s="22" t="s">
        <v>217</v>
      </c>
      <c r="F51" s="23">
        <v>3</v>
      </c>
      <c r="G51" s="22" t="s">
        <v>217</v>
      </c>
      <c r="H51" s="24" t="s">
        <v>17</v>
      </c>
      <c r="I51" s="32" t="str">
        <f t="shared" si="0"/>
        <v>64</v>
      </c>
      <c r="J51" s="33"/>
      <c r="K51" s="7">
        <f t="shared" si="1"/>
        <v>100</v>
      </c>
      <c r="L51" s="28"/>
      <c r="M51" s="26"/>
    </row>
    <row r="52" ht="18.75" customHeight="1" spans="1:13">
      <c r="A52" s="14"/>
      <c r="B52" s="14" t="s">
        <v>218</v>
      </c>
      <c r="C52" s="25" t="e">
        <f>SUM(#REF!,#REF!)-K52</f>
        <v>#REF!</v>
      </c>
      <c r="D52" s="17" t="s">
        <v>219</v>
      </c>
      <c r="E52" s="18" t="s">
        <v>220</v>
      </c>
      <c r="F52" s="19">
        <v>1</v>
      </c>
      <c r="G52" s="18" t="s">
        <v>221</v>
      </c>
      <c r="H52" s="20" t="s">
        <v>17</v>
      </c>
      <c r="I52" s="29" t="str">
        <f t="shared" si="0"/>
        <v>67</v>
      </c>
      <c r="J52" s="21" t="s">
        <v>222</v>
      </c>
      <c r="K52" s="7">
        <f t="shared" si="1"/>
        <v>103</v>
      </c>
      <c r="L52" s="30" t="s">
        <v>122</v>
      </c>
      <c r="M52" s="26"/>
    </row>
    <row r="53" ht="20.25" spans="1:13">
      <c r="A53" s="14"/>
      <c r="B53" s="14"/>
      <c r="C53" s="25"/>
      <c r="D53" s="17" t="s">
        <v>223</v>
      </c>
      <c r="E53" s="18" t="s">
        <v>224</v>
      </c>
      <c r="F53" s="19">
        <v>15</v>
      </c>
      <c r="G53" s="18" t="s">
        <v>225</v>
      </c>
      <c r="H53" s="20" t="s">
        <v>17</v>
      </c>
      <c r="I53" s="29" t="str">
        <f t="shared" si="0"/>
        <v>68</v>
      </c>
      <c r="J53" s="21" t="s">
        <v>226</v>
      </c>
      <c r="K53" s="7">
        <f t="shared" si="1"/>
        <v>104</v>
      </c>
      <c r="L53" s="30" t="s">
        <v>122</v>
      </c>
      <c r="M53" s="26"/>
    </row>
    <row r="54" ht="20.25" spans="1:13">
      <c r="A54" s="14"/>
      <c r="B54" s="14"/>
      <c r="C54" s="25"/>
      <c r="D54" s="17" t="s">
        <v>227</v>
      </c>
      <c r="E54" s="18" t="s">
        <v>228</v>
      </c>
      <c r="F54" s="19">
        <v>1</v>
      </c>
      <c r="G54" s="18" t="s">
        <v>229</v>
      </c>
      <c r="H54" s="20" t="s">
        <v>17</v>
      </c>
      <c r="I54" s="29" t="str">
        <f t="shared" si="0"/>
        <v>77</v>
      </c>
      <c r="J54" s="21" t="s">
        <v>230</v>
      </c>
      <c r="K54" s="7">
        <f>K53+F53</f>
        <v>119</v>
      </c>
      <c r="L54" s="30" t="s">
        <v>122</v>
      </c>
      <c r="M54" s="26"/>
    </row>
    <row r="55" ht="20.25" spans="1:13">
      <c r="A55" s="14"/>
      <c r="B55" s="14"/>
      <c r="C55" s="25"/>
      <c r="D55" s="17" t="s">
        <v>231</v>
      </c>
      <c r="E55" s="18" t="s">
        <v>232</v>
      </c>
      <c r="F55" s="19">
        <v>1</v>
      </c>
      <c r="G55" s="18" t="s">
        <v>233</v>
      </c>
      <c r="H55" s="20" t="s">
        <v>17</v>
      </c>
      <c r="I55" s="29" t="str">
        <f t="shared" si="0"/>
        <v>78</v>
      </c>
      <c r="J55" s="21" t="s">
        <v>234</v>
      </c>
      <c r="K55" s="7">
        <f t="shared" ref="K55:K118" si="2">F54+K54</f>
        <v>120</v>
      </c>
      <c r="L55" s="30" t="s">
        <v>122</v>
      </c>
      <c r="M55" s="26"/>
    </row>
    <row r="56" ht="20.25" spans="1:13">
      <c r="A56" s="14"/>
      <c r="B56" s="14"/>
      <c r="C56" s="25"/>
      <c r="D56" s="17" t="s">
        <v>235</v>
      </c>
      <c r="E56" s="18" t="s">
        <v>236</v>
      </c>
      <c r="F56" s="19">
        <v>1</v>
      </c>
      <c r="G56" s="18" t="s">
        <v>237</v>
      </c>
      <c r="H56" s="20" t="s">
        <v>17</v>
      </c>
      <c r="I56" s="29" t="str">
        <f t="shared" si="0"/>
        <v>79</v>
      </c>
      <c r="J56" s="21" t="s">
        <v>238</v>
      </c>
      <c r="K56" s="7">
        <f t="shared" si="2"/>
        <v>121</v>
      </c>
      <c r="L56" s="30" t="s">
        <v>122</v>
      </c>
      <c r="M56" s="26"/>
    </row>
    <row r="57" ht="20.25" spans="1:13">
      <c r="A57" s="14"/>
      <c r="B57" s="14"/>
      <c r="C57" s="25"/>
      <c r="D57" s="17" t="s">
        <v>239</v>
      </c>
      <c r="E57" s="18" t="s">
        <v>240</v>
      </c>
      <c r="F57" s="19">
        <v>1</v>
      </c>
      <c r="G57" s="18" t="s">
        <v>241</v>
      </c>
      <c r="H57" s="20" t="s">
        <v>17</v>
      </c>
      <c r="I57" s="29" t="str">
        <f t="shared" si="0"/>
        <v>7A</v>
      </c>
      <c r="J57" s="21" t="s">
        <v>242</v>
      </c>
      <c r="K57" s="7">
        <f t="shared" si="2"/>
        <v>122</v>
      </c>
      <c r="L57" s="30" t="s">
        <v>122</v>
      </c>
      <c r="M57" s="26"/>
    </row>
    <row r="58" ht="20.25" spans="1:13">
      <c r="A58" s="14"/>
      <c r="B58" s="14"/>
      <c r="C58" s="25"/>
      <c r="D58" s="17" t="s">
        <v>243</v>
      </c>
      <c r="E58" s="18" t="s">
        <v>244</v>
      </c>
      <c r="F58" s="19">
        <v>1</v>
      </c>
      <c r="G58" s="18" t="s">
        <v>245</v>
      </c>
      <c r="H58" s="20" t="s">
        <v>17</v>
      </c>
      <c r="I58" s="29" t="str">
        <f t="shared" si="0"/>
        <v>7B</v>
      </c>
      <c r="J58" s="21" t="s">
        <v>246</v>
      </c>
      <c r="K58" s="7">
        <f t="shared" si="2"/>
        <v>123</v>
      </c>
      <c r="L58" s="30" t="s">
        <v>122</v>
      </c>
      <c r="M58" s="26"/>
    </row>
    <row r="59" ht="20.25" spans="1:13">
      <c r="A59" s="14"/>
      <c r="B59" s="14"/>
      <c r="C59" s="25"/>
      <c r="D59" s="17" t="s">
        <v>247</v>
      </c>
      <c r="E59" s="18" t="s">
        <v>248</v>
      </c>
      <c r="F59" s="19">
        <v>1</v>
      </c>
      <c r="G59" s="18" t="s">
        <v>249</v>
      </c>
      <c r="H59" s="20" t="s">
        <v>17</v>
      </c>
      <c r="I59" s="29" t="str">
        <f t="shared" si="0"/>
        <v>7C</v>
      </c>
      <c r="J59" s="21" t="s">
        <v>250</v>
      </c>
      <c r="K59" s="7">
        <f t="shared" si="2"/>
        <v>124</v>
      </c>
      <c r="L59" s="30" t="s">
        <v>122</v>
      </c>
      <c r="M59" s="26"/>
    </row>
    <row r="60" ht="20.25" spans="1:13">
      <c r="A60" s="14"/>
      <c r="B60" s="14"/>
      <c r="C60" s="25"/>
      <c r="D60" s="17" t="s">
        <v>251</v>
      </c>
      <c r="E60" s="18" t="s">
        <v>252</v>
      </c>
      <c r="F60" s="19">
        <v>4</v>
      </c>
      <c r="G60" s="18" t="s">
        <v>253</v>
      </c>
      <c r="H60" s="20" t="s">
        <v>17</v>
      </c>
      <c r="I60" s="29" t="str">
        <f t="shared" si="0"/>
        <v>7D</v>
      </c>
      <c r="J60" s="21" t="s">
        <v>254</v>
      </c>
      <c r="K60" s="7">
        <f t="shared" si="2"/>
        <v>125</v>
      </c>
      <c r="L60" s="30" t="s">
        <v>19</v>
      </c>
      <c r="M60" s="26"/>
    </row>
    <row r="61" ht="20.25" spans="1:13">
      <c r="A61" s="14"/>
      <c r="B61" s="14"/>
      <c r="C61" s="25"/>
      <c r="D61" s="17" t="s">
        <v>255</v>
      </c>
      <c r="E61" s="18" t="s">
        <v>256</v>
      </c>
      <c r="F61" s="19">
        <v>4</v>
      </c>
      <c r="G61" s="18" t="s">
        <v>257</v>
      </c>
      <c r="H61" s="20" t="s">
        <v>17</v>
      </c>
      <c r="I61" s="29" t="str">
        <f t="shared" si="0"/>
        <v>81</v>
      </c>
      <c r="J61" s="21" t="s">
        <v>258</v>
      </c>
      <c r="K61" s="7">
        <f t="shared" si="2"/>
        <v>129</v>
      </c>
      <c r="L61" s="31" t="s">
        <v>84</v>
      </c>
      <c r="M61" s="26"/>
    </row>
    <row r="62" ht="20.25" spans="1:13">
      <c r="A62" s="14"/>
      <c r="B62" s="14"/>
      <c r="C62" s="25"/>
      <c r="D62" s="17" t="s">
        <v>259</v>
      </c>
      <c r="E62" s="18" t="s">
        <v>260</v>
      </c>
      <c r="F62" s="19">
        <v>4</v>
      </c>
      <c r="G62" s="18" t="s">
        <v>261</v>
      </c>
      <c r="H62" s="20" t="s">
        <v>17</v>
      </c>
      <c r="I62" s="29" t="str">
        <f t="shared" si="0"/>
        <v>85</v>
      </c>
      <c r="J62" s="21" t="s">
        <v>262</v>
      </c>
      <c r="K62" s="7">
        <f t="shared" si="2"/>
        <v>133</v>
      </c>
      <c r="L62" s="30" t="s">
        <v>19</v>
      </c>
      <c r="M62" s="26"/>
    </row>
    <row r="63" ht="20.25" spans="1:13">
      <c r="A63" s="14"/>
      <c r="B63" s="14"/>
      <c r="C63" s="25"/>
      <c r="D63" s="17" t="s">
        <v>263</v>
      </c>
      <c r="E63" s="18" t="s">
        <v>264</v>
      </c>
      <c r="F63" s="19">
        <v>1</v>
      </c>
      <c r="G63" s="18" t="s">
        <v>265</v>
      </c>
      <c r="H63" s="20" t="s">
        <v>17</v>
      </c>
      <c r="I63" s="29" t="str">
        <f t="shared" si="0"/>
        <v>89</v>
      </c>
      <c r="J63" s="21" t="s">
        <v>266</v>
      </c>
      <c r="K63" s="7">
        <f t="shared" si="2"/>
        <v>137</v>
      </c>
      <c r="L63" s="31" t="s">
        <v>84</v>
      </c>
      <c r="M63" s="26"/>
    </row>
    <row r="64" ht="24" customHeight="1" spans="1:13">
      <c r="A64" s="14"/>
      <c r="B64" s="14"/>
      <c r="C64" s="25"/>
      <c r="D64" s="17" t="s">
        <v>267</v>
      </c>
      <c r="E64" s="18" t="s">
        <v>268</v>
      </c>
      <c r="F64" s="19">
        <v>1</v>
      </c>
      <c r="G64" s="18" t="s">
        <v>269</v>
      </c>
      <c r="H64" s="20" t="s">
        <v>17</v>
      </c>
      <c r="I64" s="29" t="str">
        <f t="shared" si="0"/>
        <v>8A</v>
      </c>
      <c r="J64" s="21" t="s">
        <v>270</v>
      </c>
      <c r="K64" s="7">
        <f t="shared" si="2"/>
        <v>138</v>
      </c>
      <c r="L64" s="34" t="s">
        <v>84</v>
      </c>
      <c r="M64" s="35" t="s">
        <v>271</v>
      </c>
    </row>
    <row r="65" ht="20.25" spans="1:13">
      <c r="A65" s="14"/>
      <c r="B65" s="14"/>
      <c r="C65" s="25"/>
      <c r="D65" s="17" t="s">
        <v>272</v>
      </c>
      <c r="E65" s="18" t="s">
        <v>273</v>
      </c>
      <c r="F65" s="19">
        <v>1</v>
      </c>
      <c r="G65" s="18" t="s">
        <v>274</v>
      </c>
      <c r="H65" s="20" t="s">
        <v>17</v>
      </c>
      <c r="I65" s="29" t="str">
        <f t="shared" si="0"/>
        <v>8B</v>
      </c>
      <c r="J65" s="21" t="s">
        <v>275</v>
      </c>
      <c r="K65" s="7">
        <f t="shared" si="2"/>
        <v>139</v>
      </c>
      <c r="L65" s="37" t="s">
        <v>276</v>
      </c>
      <c r="M65" s="26"/>
    </row>
    <row r="66" ht="20.25" spans="1:13">
      <c r="A66" s="14"/>
      <c r="B66" s="14"/>
      <c r="C66" s="25"/>
      <c r="D66" s="17" t="s">
        <v>277</v>
      </c>
      <c r="E66" s="18" t="s">
        <v>278</v>
      </c>
      <c r="F66" s="19">
        <v>1</v>
      </c>
      <c r="G66" s="18" t="s">
        <v>279</v>
      </c>
      <c r="H66" s="20" t="s">
        <v>17</v>
      </c>
      <c r="I66" s="29" t="str">
        <f t="shared" si="0"/>
        <v>8C</v>
      </c>
      <c r="J66" s="21" t="s">
        <v>280</v>
      </c>
      <c r="K66" s="7">
        <f t="shared" si="2"/>
        <v>140</v>
      </c>
      <c r="L66" s="28" t="s">
        <v>281</v>
      </c>
      <c r="M66" s="26"/>
    </row>
    <row r="67" ht="20.25" spans="1:13">
      <c r="A67" s="14"/>
      <c r="B67" s="14"/>
      <c r="C67" s="25"/>
      <c r="D67" s="17" t="s">
        <v>282</v>
      </c>
      <c r="E67" s="18" t="s">
        <v>283</v>
      </c>
      <c r="F67" s="19">
        <v>1</v>
      </c>
      <c r="G67" s="18" t="s">
        <v>284</v>
      </c>
      <c r="H67" s="20" t="s">
        <v>17</v>
      </c>
      <c r="I67" s="29" t="str">
        <f>DEC2HEX(K67)</f>
        <v>8D</v>
      </c>
      <c r="J67" s="21" t="s">
        <v>285</v>
      </c>
      <c r="K67" s="7">
        <f t="shared" si="2"/>
        <v>141</v>
      </c>
      <c r="L67" s="28" t="s">
        <v>281</v>
      </c>
      <c r="M67" s="26"/>
    </row>
    <row r="68" ht="20.25" spans="1:13">
      <c r="A68" s="14"/>
      <c r="B68" s="14"/>
      <c r="C68" s="25"/>
      <c r="D68" s="17" t="s">
        <v>286</v>
      </c>
      <c r="E68" s="18" t="s">
        <v>287</v>
      </c>
      <c r="F68" s="19">
        <v>1</v>
      </c>
      <c r="G68" s="18" t="s">
        <v>288</v>
      </c>
      <c r="H68" s="20" t="s">
        <v>17</v>
      </c>
      <c r="I68" s="29" t="str">
        <f>DEC2HEX(K68)</f>
        <v>8E</v>
      </c>
      <c r="J68" s="21" t="s">
        <v>289</v>
      </c>
      <c r="K68" s="7">
        <f t="shared" si="2"/>
        <v>142</v>
      </c>
      <c r="L68" s="28" t="s">
        <v>281</v>
      </c>
      <c r="M68" s="26"/>
    </row>
    <row r="69" ht="20.25" spans="1:13">
      <c r="A69" s="14"/>
      <c r="B69" s="14"/>
      <c r="C69" s="25"/>
      <c r="D69" s="17" t="s">
        <v>290</v>
      </c>
      <c r="E69" s="18" t="s">
        <v>291</v>
      </c>
      <c r="F69" s="19">
        <v>2</v>
      </c>
      <c r="G69" s="18" t="s">
        <v>292</v>
      </c>
      <c r="H69" s="20" t="s">
        <v>17</v>
      </c>
      <c r="I69" s="29" t="str">
        <f>DEC2HEX(K69)</f>
        <v>8F</v>
      </c>
      <c r="J69" s="21" t="s">
        <v>293</v>
      </c>
      <c r="K69" s="7">
        <f t="shared" si="2"/>
        <v>143</v>
      </c>
      <c r="L69" s="30" t="s">
        <v>122</v>
      </c>
      <c r="M69" s="26"/>
    </row>
    <row r="70" ht="20.25" spans="1:13">
      <c r="A70" s="14"/>
      <c r="B70" s="14"/>
      <c r="C70" s="25"/>
      <c r="D70" s="17" t="s">
        <v>294</v>
      </c>
      <c r="E70" s="18" t="s">
        <v>295</v>
      </c>
      <c r="F70" s="19">
        <v>1</v>
      </c>
      <c r="G70" s="18" t="s">
        <v>296</v>
      </c>
      <c r="H70" s="20" t="s">
        <v>17</v>
      </c>
      <c r="I70" s="29" t="str">
        <f>DEC2HEX(K70)</f>
        <v>91</v>
      </c>
      <c r="J70" s="21" t="s">
        <v>297</v>
      </c>
      <c r="K70" s="7">
        <f t="shared" si="2"/>
        <v>145</v>
      </c>
      <c r="L70" s="34" t="s">
        <v>84</v>
      </c>
      <c r="M70" s="26"/>
    </row>
    <row r="71" ht="20.25" spans="1:13">
      <c r="A71" s="14"/>
      <c r="B71" s="14"/>
      <c r="C71" s="25"/>
      <c r="D71" s="17" t="s">
        <v>298</v>
      </c>
      <c r="E71" s="18" t="s">
        <v>299</v>
      </c>
      <c r="F71" s="19">
        <v>1</v>
      </c>
      <c r="G71" s="18" t="s">
        <v>300</v>
      </c>
      <c r="H71" s="20" t="s">
        <v>17</v>
      </c>
      <c r="I71" s="29" t="str">
        <f>DEC2HEX(K71)</f>
        <v>92</v>
      </c>
      <c r="J71" s="17" t="s">
        <v>301</v>
      </c>
      <c r="K71" s="7">
        <f t="shared" si="2"/>
        <v>146</v>
      </c>
      <c r="L71" s="28" t="s">
        <v>281</v>
      </c>
      <c r="M71" s="26"/>
    </row>
    <row r="72" ht="20.25" spans="1:13">
      <c r="A72" s="14"/>
      <c r="B72" s="14"/>
      <c r="C72" s="25"/>
      <c r="D72" s="17" t="s">
        <v>302</v>
      </c>
      <c r="E72" s="18" t="s">
        <v>303</v>
      </c>
      <c r="F72" s="19">
        <v>1</v>
      </c>
      <c r="G72" s="18" t="s">
        <v>304</v>
      </c>
      <c r="H72" s="20" t="s">
        <v>17</v>
      </c>
      <c r="I72" s="29" t="str">
        <f>DEC2HEX(K72)</f>
        <v>93</v>
      </c>
      <c r="J72" s="17" t="s">
        <v>305</v>
      </c>
      <c r="K72" s="7">
        <f t="shared" si="2"/>
        <v>147</v>
      </c>
      <c r="L72" s="28" t="s">
        <v>306</v>
      </c>
      <c r="M72" s="26"/>
    </row>
    <row r="73" ht="20.25" spans="1:13">
      <c r="A73" s="14"/>
      <c r="B73" s="14"/>
      <c r="C73" s="25"/>
      <c r="D73" s="17" t="s">
        <v>307</v>
      </c>
      <c r="E73" s="18" t="s">
        <v>308</v>
      </c>
      <c r="F73" s="19">
        <v>1</v>
      </c>
      <c r="G73" s="18" t="s">
        <v>309</v>
      </c>
      <c r="H73" s="20" t="s">
        <v>17</v>
      </c>
      <c r="I73" s="29" t="str">
        <f>DEC2HEX(K73)</f>
        <v>94</v>
      </c>
      <c r="J73" s="17" t="s">
        <v>310</v>
      </c>
      <c r="K73" s="7">
        <f t="shared" si="2"/>
        <v>148</v>
      </c>
      <c r="L73" s="28" t="s">
        <v>311</v>
      </c>
      <c r="M73" s="26"/>
    </row>
    <row r="74" ht="20.25" spans="1:13">
      <c r="A74" s="14"/>
      <c r="B74" s="14"/>
      <c r="C74" s="25"/>
      <c r="D74" s="17" t="s">
        <v>312</v>
      </c>
      <c r="E74" s="18" t="s">
        <v>313</v>
      </c>
      <c r="F74" s="19">
        <v>1</v>
      </c>
      <c r="G74" s="18" t="s">
        <v>314</v>
      </c>
      <c r="H74" s="20" t="s">
        <v>17</v>
      </c>
      <c r="I74" s="29" t="str">
        <f>DEC2HEX(K74)</f>
        <v>95</v>
      </c>
      <c r="J74" s="17" t="s">
        <v>315</v>
      </c>
      <c r="K74" s="7">
        <f t="shared" si="2"/>
        <v>149</v>
      </c>
      <c r="L74" s="28" t="s">
        <v>281</v>
      </c>
      <c r="M74" s="26"/>
    </row>
    <row r="75" ht="20.25" spans="1:13">
      <c r="A75" s="14"/>
      <c r="B75" s="14"/>
      <c r="C75" s="25"/>
      <c r="D75" s="17" t="s">
        <v>316</v>
      </c>
      <c r="E75" s="18" t="s">
        <v>317</v>
      </c>
      <c r="F75" s="19">
        <v>1</v>
      </c>
      <c r="G75" s="18" t="s">
        <v>318</v>
      </c>
      <c r="H75" s="20" t="s">
        <v>17</v>
      </c>
      <c r="I75" s="29" t="str">
        <f>DEC2HEX(K75)</f>
        <v>96</v>
      </c>
      <c r="J75" s="17" t="s">
        <v>319</v>
      </c>
      <c r="K75" s="7">
        <f t="shared" si="2"/>
        <v>150</v>
      </c>
      <c r="L75" s="28" t="s">
        <v>281</v>
      </c>
      <c r="M75" s="26"/>
    </row>
    <row r="76" ht="20.25" spans="1:13">
      <c r="A76" s="14"/>
      <c r="B76" s="14"/>
      <c r="C76" s="25"/>
      <c r="D76" s="17" t="s">
        <v>320</v>
      </c>
      <c r="E76" s="18" t="s">
        <v>321</v>
      </c>
      <c r="F76" s="19">
        <v>1</v>
      </c>
      <c r="G76" s="18" t="s">
        <v>322</v>
      </c>
      <c r="H76" s="20" t="s">
        <v>17</v>
      </c>
      <c r="I76" s="29" t="str">
        <f>DEC2HEX(K76)</f>
        <v>97</v>
      </c>
      <c r="J76" s="17" t="s">
        <v>320</v>
      </c>
      <c r="K76" s="7">
        <f t="shared" si="2"/>
        <v>151</v>
      </c>
      <c r="L76" s="28" t="s">
        <v>323</v>
      </c>
      <c r="M76" s="26"/>
    </row>
    <row r="77" ht="20.25" spans="1:13">
      <c r="A77" s="14"/>
      <c r="B77" s="14"/>
      <c r="C77" s="25"/>
      <c r="D77" s="17" t="s">
        <v>324</v>
      </c>
      <c r="E77" s="18" t="s">
        <v>325</v>
      </c>
      <c r="F77" s="19">
        <v>1</v>
      </c>
      <c r="G77" s="18" t="s">
        <v>326</v>
      </c>
      <c r="H77" s="20" t="s">
        <v>17</v>
      </c>
      <c r="I77" s="29" t="str">
        <f>DEC2HEX(K77)</f>
        <v>98</v>
      </c>
      <c r="J77" s="17" t="s">
        <v>324</v>
      </c>
      <c r="K77" s="7">
        <f t="shared" si="2"/>
        <v>152</v>
      </c>
      <c r="L77" s="31" t="s">
        <v>84</v>
      </c>
      <c r="M77" s="26"/>
    </row>
    <row r="78" ht="20.25" spans="1:13">
      <c r="A78" s="14"/>
      <c r="B78" s="14"/>
      <c r="C78" s="25"/>
      <c r="D78" s="17" t="s">
        <v>327</v>
      </c>
      <c r="E78" s="18" t="s">
        <v>328</v>
      </c>
      <c r="F78" s="19">
        <v>1</v>
      </c>
      <c r="G78" s="18" t="s">
        <v>329</v>
      </c>
      <c r="H78" s="20" t="s">
        <v>17</v>
      </c>
      <c r="I78" s="29" t="str">
        <f>DEC2HEX(K78)</f>
        <v>99</v>
      </c>
      <c r="J78" s="17" t="s">
        <v>327</v>
      </c>
      <c r="K78" s="7">
        <f t="shared" si="2"/>
        <v>153</v>
      </c>
      <c r="L78" s="28" t="s">
        <v>330</v>
      </c>
      <c r="M78" s="26"/>
    </row>
    <row r="79" ht="20.25" spans="1:13">
      <c r="A79" s="14"/>
      <c r="B79" s="14"/>
      <c r="C79" s="25"/>
      <c r="D79" s="17" t="s">
        <v>331</v>
      </c>
      <c r="E79" s="18" t="s">
        <v>332</v>
      </c>
      <c r="F79" s="19">
        <v>1</v>
      </c>
      <c r="G79" s="18" t="s">
        <v>333</v>
      </c>
      <c r="H79" s="20" t="s">
        <v>17</v>
      </c>
      <c r="I79" s="29" t="str">
        <f>DEC2HEX(K79)</f>
        <v>9A</v>
      </c>
      <c r="J79" s="17" t="s">
        <v>331</v>
      </c>
      <c r="K79" s="7">
        <f t="shared" si="2"/>
        <v>154</v>
      </c>
      <c r="L79" s="28" t="s">
        <v>330</v>
      </c>
      <c r="M79" s="26"/>
    </row>
    <row r="80" ht="20.25" spans="1:13">
      <c r="A80" s="14"/>
      <c r="B80" s="14"/>
      <c r="C80" s="25"/>
      <c r="D80" s="17" t="s">
        <v>334</v>
      </c>
      <c r="E80" s="18" t="s">
        <v>335</v>
      </c>
      <c r="F80" s="19">
        <v>1</v>
      </c>
      <c r="G80" s="18" t="s">
        <v>336</v>
      </c>
      <c r="H80" s="20" t="s">
        <v>17</v>
      </c>
      <c r="I80" s="29" t="str">
        <f>DEC2HEX(K80)</f>
        <v>9B</v>
      </c>
      <c r="J80" s="17" t="s">
        <v>334</v>
      </c>
      <c r="K80" s="7">
        <f t="shared" si="2"/>
        <v>155</v>
      </c>
      <c r="L80" s="28" t="s">
        <v>337</v>
      </c>
      <c r="M80" s="26"/>
    </row>
    <row r="81" ht="20.25" spans="1:13">
      <c r="A81" s="14"/>
      <c r="B81" s="14"/>
      <c r="C81" s="25"/>
      <c r="D81" s="17" t="s">
        <v>338</v>
      </c>
      <c r="E81" s="18" t="s">
        <v>339</v>
      </c>
      <c r="F81" s="19">
        <v>1</v>
      </c>
      <c r="G81" s="18" t="s">
        <v>340</v>
      </c>
      <c r="H81" s="20" t="s">
        <v>17</v>
      </c>
      <c r="I81" s="29" t="str">
        <f>DEC2HEX(K81)</f>
        <v>9C</v>
      </c>
      <c r="J81" s="17" t="s">
        <v>338</v>
      </c>
      <c r="K81" s="7">
        <f t="shared" si="2"/>
        <v>156</v>
      </c>
      <c r="L81" s="30" t="s">
        <v>122</v>
      </c>
      <c r="M81" s="26"/>
    </row>
    <row r="82" ht="20.25" spans="1:13">
      <c r="A82" s="14"/>
      <c r="B82" s="14"/>
      <c r="C82" s="25"/>
      <c r="D82" s="17" t="s">
        <v>341</v>
      </c>
      <c r="E82" s="18" t="s">
        <v>342</v>
      </c>
      <c r="F82" s="19">
        <v>1</v>
      </c>
      <c r="G82" s="18" t="s">
        <v>343</v>
      </c>
      <c r="H82" s="20" t="s">
        <v>17</v>
      </c>
      <c r="I82" s="29" t="str">
        <f>DEC2HEX(K82)</f>
        <v>9D</v>
      </c>
      <c r="J82" s="17" t="s">
        <v>344</v>
      </c>
      <c r="K82" s="7">
        <f t="shared" si="2"/>
        <v>157</v>
      </c>
      <c r="L82" s="31" t="s">
        <v>345</v>
      </c>
      <c r="M82" s="26"/>
    </row>
    <row r="83" ht="20.25" spans="1:13">
      <c r="A83" s="14"/>
      <c r="B83" s="14"/>
      <c r="C83" s="25"/>
      <c r="D83" s="17" t="s">
        <v>346</v>
      </c>
      <c r="E83" s="18" t="s">
        <v>347</v>
      </c>
      <c r="F83" s="19">
        <v>1</v>
      </c>
      <c r="G83" s="18" t="s">
        <v>348</v>
      </c>
      <c r="H83" s="20" t="s">
        <v>17</v>
      </c>
      <c r="I83" s="29" t="str">
        <f>DEC2HEX(K83)</f>
        <v>9E</v>
      </c>
      <c r="J83" s="17" t="s">
        <v>349</v>
      </c>
      <c r="K83" s="7">
        <f t="shared" si="2"/>
        <v>158</v>
      </c>
      <c r="L83" s="31" t="s">
        <v>350</v>
      </c>
      <c r="M83" s="26" t="s">
        <v>346</v>
      </c>
    </row>
    <row r="84" ht="20.25" spans="1:13">
      <c r="A84" s="14"/>
      <c r="B84" s="14"/>
      <c r="C84" s="25"/>
      <c r="D84" s="17" t="s">
        <v>351</v>
      </c>
      <c r="E84" s="18" t="s">
        <v>352</v>
      </c>
      <c r="F84" s="19">
        <v>1</v>
      </c>
      <c r="G84" s="18" t="s">
        <v>353</v>
      </c>
      <c r="H84" s="20" t="s">
        <v>17</v>
      </c>
      <c r="I84" s="29" t="str">
        <f>DEC2HEX(K84)</f>
        <v>9F</v>
      </c>
      <c r="J84" s="17" t="s">
        <v>354</v>
      </c>
      <c r="K84" s="7">
        <f t="shared" si="2"/>
        <v>159</v>
      </c>
      <c r="L84" s="31" t="s">
        <v>355</v>
      </c>
      <c r="M84" s="26" t="s">
        <v>356</v>
      </c>
    </row>
    <row r="85" ht="20.25" spans="1:13">
      <c r="A85" s="14"/>
      <c r="B85" s="14"/>
      <c r="C85" s="25"/>
      <c r="D85" s="17" t="s">
        <v>357</v>
      </c>
      <c r="E85" s="18" t="s">
        <v>358</v>
      </c>
      <c r="F85" s="19">
        <v>1</v>
      </c>
      <c r="G85" s="18" t="s">
        <v>359</v>
      </c>
      <c r="H85" s="20" t="s">
        <v>17</v>
      </c>
      <c r="I85" s="29" t="str">
        <f>DEC2HEX(K85)</f>
        <v>A0</v>
      </c>
      <c r="J85" s="17" t="s">
        <v>360</v>
      </c>
      <c r="K85" s="7">
        <f t="shared" si="2"/>
        <v>160</v>
      </c>
      <c r="L85" s="28" t="s">
        <v>361</v>
      </c>
      <c r="M85" s="26"/>
    </row>
    <row r="86" ht="20.25" spans="1:13">
      <c r="A86" s="14"/>
      <c r="B86" s="14"/>
      <c r="C86" s="25"/>
      <c r="D86" s="17" t="s">
        <v>362</v>
      </c>
      <c r="E86" s="18" t="s">
        <v>363</v>
      </c>
      <c r="F86" s="19">
        <v>1</v>
      </c>
      <c r="G86" s="18" t="s">
        <v>364</v>
      </c>
      <c r="H86" s="20" t="s">
        <v>17</v>
      </c>
      <c r="I86" s="29" t="str">
        <f>DEC2HEX(K86)</f>
        <v>A1</v>
      </c>
      <c r="J86" s="17" t="s">
        <v>365</v>
      </c>
      <c r="K86" s="7">
        <f t="shared" si="2"/>
        <v>161</v>
      </c>
      <c r="L86" s="28" t="s">
        <v>361</v>
      </c>
      <c r="M86" s="26" t="s">
        <v>366</v>
      </c>
    </row>
    <row r="87" ht="20.25" spans="1:13">
      <c r="A87" s="14"/>
      <c r="B87" s="14"/>
      <c r="C87" s="25"/>
      <c r="D87" s="17" t="s">
        <v>367</v>
      </c>
      <c r="E87" s="18" t="s">
        <v>368</v>
      </c>
      <c r="F87" s="19">
        <v>1</v>
      </c>
      <c r="G87" s="18" t="s">
        <v>369</v>
      </c>
      <c r="H87" s="20" t="s">
        <v>17</v>
      </c>
      <c r="I87" s="29" t="str">
        <f>DEC2HEX(K87)</f>
        <v>A2</v>
      </c>
      <c r="J87" s="17" t="s">
        <v>370</v>
      </c>
      <c r="K87" s="7">
        <f t="shared" si="2"/>
        <v>162</v>
      </c>
      <c r="L87" s="28" t="s">
        <v>361</v>
      </c>
      <c r="M87" s="26"/>
    </row>
    <row r="88" ht="20.25" spans="1:13">
      <c r="A88" s="14"/>
      <c r="B88" s="14"/>
      <c r="C88" s="25"/>
      <c r="D88" s="17" t="s">
        <v>371</v>
      </c>
      <c r="E88" s="18" t="s">
        <v>372</v>
      </c>
      <c r="F88" s="19">
        <v>1</v>
      </c>
      <c r="G88" s="18" t="s">
        <v>373</v>
      </c>
      <c r="H88" s="20" t="s">
        <v>17</v>
      </c>
      <c r="I88" s="29" t="str">
        <f>DEC2HEX(K88)</f>
        <v>A3</v>
      </c>
      <c r="J88" s="17" t="s">
        <v>374</v>
      </c>
      <c r="K88" s="7">
        <f t="shared" si="2"/>
        <v>163</v>
      </c>
      <c r="L88" s="28" t="s">
        <v>337</v>
      </c>
      <c r="M88" s="26"/>
    </row>
    <row r="89" ht="20.25" spans="1:13">
      <c r="A89" s="14"/>
      <c r="B89" s="14"/>
      <c r="C89" s="25"/>
      <c r="D89" s="17" t="s">
        <v>375</v>
      </c>
      <c r="E89" s="18" t="s">
        <v>376</v>
      </c>
      <c r="F89" s="19">
        <v>1</v>
      </c>
      <c r="G89" s="18" t="s">
        <v>377</v>
      </c>
      <c r="H89" s="20" t="s">
        <v>17</v>
      </c>
      <c r="I89" s="29" t="str">
        <f>DEC2HEX(K89)</f>
        <v>A4</v>
      </c>
      <c r="J89" s="17" t="s">
        <v>378</v>
      </c>
      <c r="K89" s="7">
        <f t="shared" si="2"/>
        <v>164</v>
      </c>
      <c r="L89" s="28" t="s">
        <v>379</v>
      </c>
      <c r="M89" s="26"/>
    </row>
    <row r="90" ht="20.25" customHeight="1" spans="1:13">
      <c r="A90" s="14"/>
      <c r="B90" s="15" t="s">
        <v>380</v>
      </c>
      <c r="C90" s="16" t="e">
        <f>SUM(F125,K125)-K90</f>
        <v>#REF!</v>
      </c>
      <c r="D90" s="17" t="s">
        <v>381</v>
      </c>
      <c r="E90" s="18" t="s">
        <v>382</v>
      </c>
      <c r="F90" s="19">
        <v>1</v>
      </c>
      <c r="G90" s="18" t="s">
        <v>383</v>
      </c>
      <c r="H90" s="20" t="s">
        <v>17</v>
      </c>
      <c r="I90" s="29" t="e">
        <f t="shared" ref="I90:I130" si="3">DEC2HEX(K90)</f>
        <v>#REF!</v>
      </c>
      <c r="J90" s="21" t="s">
        <v>384</v>
      </c>
      <c r="K90" s="7" t="e">
        <f>#REF!+#REF!</f>
        <v>#REF!</v>
      </c>
      <c r="L90" s="31" t="s">
        <v>84</v>
      </c>
      <c r="M90" s="26" t="s">
        <v>385</v>
      </c>
    </row>
    <row r="91" ht="20.25" spans="1:13">
      <c r="A91" s="14"/>
      <c r="B91" s="15"/>
      <c r="C91" s="16"/>
      <c r="D91" s="17" t="s">
        <v>386</v>
      </c>
      <c r="E91" s="18" t="s">
        <v>387</v>
      </c>
      <c r="F91" s="19">
        <v>1</v>
      </c>
      <c r="G91" s="18" t="s">
        <v>388</v>
      </c>
      <c r="H91" s="20" t="s">
        <v>17</v>
      </c>
      <c r="I91" s="29" t="e">
        <f t="shared" si="3"/>
        <v>#REF!</v>
      </c>
      <c r="J91" s="38" t="s">
        <v>389</v>
      </c>
      <c r="K91" s="7" t="e">
        <f>F90+K90</f>
        <v>#REF!</v>
      </c>
      <c r="L91" s="31" t="s">
        <v>84</v>
      </c>
      <c r="M91" s="26"/>
    </row>
    <row r="92" ht="20.25" spans="1:13">
      <c r="A92" s="14"/>
      <c r="B92" s="15"/>
      <c r="C92" s="16"/>
      <c r="D92" s="17" t="s">
        <v>390</v>
      </c>
      <c r="E92" s="18" t="s">
        <v>391</v>
      </c>
      <c r="F92" s="19">
        <v>4</v>
      </c>
      <c r="G92" s="18" t="s">
        <v>392</v>
      </c>
      <c r="H92" s="20" t="s">
        <v>17</v>
      </c>
      <c r="I92" s="29" t="e">
        <f t="shared" si="3"/>
        <v>#REF!</v>
      </c>
      <c r="J92" s="21" t="s">
        <v>393</v>
      </c>
      <c r="K92" s="7" t="e">
        <f>F91+K91</f>
        <v>#REF!</v>
      </c>
      <c r="L92" s="31" t="s">
        <v>84</v>
      </c>
      <c r="M92" s="26"/>
    </row>
    <row r="93" ht="20.25" spans="1:13">
      <c r="A93" s="14"/>
      <c r="B93" s="15"/>
      <c r="C93" s="16"/>
      <c r="D93" s="17" t="s">
        <v>394</v>
      </c>
      <c r="E93" s="18" t="s">
        <v>395</v>
      </c>
      <c r="F93" s="19">
        <v>1</v>
      </c>
      <c r="G93" s="18" t="s">
        <v>396</v>
      </c>
      <c r="H93" s="20" t="s">
        <v>17</v>
      </c>
      <c r="I93" s="29" t="e">
        <f t="shared" si="3"/>
        <v>#REF!</v>
      </c>
      <c r="J93" s="21" t="s">
        <v>397</v>
      </c>
      <c r="K93" s="7" t="e">
        <f>F92+K92</f>
        <v>#REF!</v>
      </c>
      <c r="L93" s="31" t="s">
        <v>84</v>
      </c>
      <c r="M93" s="26"/>
    </row>
    <row r="94" ht="20.25" spans="1:13">
      <c r="A94" s="14"/>
      <c r="B94" s="15"/>
      <c r="C94" s="16"/>
      <c r="D94" s="17" t="s">
        <v>398</v>
      </c>
      <c r="E94" s="18" t="s">
        <v>399</v>
      </c>
      <c r="F94" s="19">
        <v>1</v>
      </c>
      <c r="G94" s="18" t="s">
        <v>400</v>
      </c>
      <c r="H94" s="20" t="s">
        <v>17</v>
      </c>
      <c r="I94" s="29" t="e">
        <f t="shared" si="3"/>
        <v>#REF!</v>
      </c>
      <c r="J94" s="21" t="s">
        <v>401</v>
      </c>
      <c r="K94" s="7" t="e">
        <f>F93+K93</f>
        <v>#REF!</v>
      </c>
      <c r="L94" s="28" t="s">
        <v>402</v>
      </c>
      <c r="M94" s="26"/>
    </row>
    <row r="95" ht="20.25" spans="1:13">
      <c r="A95" s="14"/>
      <c r="B95" s="15"/>
      <c r="C95" s="16"/>
      <c r="D95" s="17" t="s">
        <v>403</v>
      </c>
      <c r="E95" s="18" t="s">
        <v>404</v>
      </c>
      <c r="F95" s="19">
        <v>1</v>
      </c>
      <c r="G95" s="18" t="s">
        <v>405</v>
      </c>
      <c r="H95" s="20" t="s">
        <v>17</v>
      </c>
      <c r="I95" s="29" t="e">
        <f t="shared" si="3"/>
        <v>#REF!</v>
      </c>
      <c r="J95" s="38" t="s">
        <v>406</v>
      </c>
      <c r="K95" s="7" t="e">
        <f>F94+K94</f>
        <v>#REF!</v>
      </c>
      <c r="L95" s="30" t="s">
        <v>122</v>
      </c>
      <c r="M95" s="26"/>
    </row>
    <row r="96" ht="20.25" spans="1:13">
      <c r="A96" s="14"/>
      <c r="B96" s="15"/>
      <c r="C96" s="16"/>
      <c r="D96" s="17" t="s">
        <v>407</v>
      </c>
      <c r="E96" s="18" t="s">
        <v>408</v>
      </c>
      <c r="F96" s="19">
        <v>1</v>
      </c>
      <c r="G96" s="18" t="s">
        <v>409</v>
      </c>
      <c r="H96" s="20" t="s">
        <v>17</v>
      </c>
      <c r="I96" s="29" t="e">
        <f t="shared" si="3"/>
        <v>#REF!</v>
      </c>
      <c r="J96" s="38" t="s">
        <v>410</v>
      </c>
      <c r="K96" s="7" t="e">
        <f>F95+K95</f>
        <v>#REF!</v>
      </c>
      <c r="L96" s="30" t="s">
        <v>122</v>
      </c>
      <c r="M96" s="26"/>
    </row>
    <row r="97" ht="20.25" spans="1:13">
      <c r="A97" s="14"/>
      <c r="B97" s="15"/>
      <c r="C97" s="16"/>
      <c r="D97" s="17" t="s">
        <v>411</v>
      </c>
      <c r="E97" s="18" t="s">
        <v>412</v>
      </c>
      <c r="F97" s="19">
        <v>4</v>
      </c>
      <c r="G97" s="18" t="s">
        <v>413</v>
      </c>
      <c r="H97" s="20" t="s">
        <v>17</v>
      </c>
      <c r="I97" s="29" t="e">
        <f t="shared" si="3"/>
        <v>#REF!</v>
      </c>
      <c r="J97" s="21" t="s">
        <v>414</v>
      </c>
      <c r="K97" s="7" t="e">
        <f>F96+K96</f>
        <v>#REF!</v>
      </c>
      <c r="L97" s="28" t="s">
        <v>415</v>
      </c>
      <c r="M97" s="26"/>
    </row>
    <row r="98" ht="20.25" spans="1:13">
      <c r="A98" s="14"/>
      <c r="B98" s="15"/>
      <c r="C98" s="16"/>
      <c r="D98" s="17" t="s">
        <v>416</v>
      </c>
      <c r="E98" s="18" t="s">
        <v>417</v>
      </c>
      <c r="F98" s="19">
        <v>1</v>
      </c>
      <c r="G98" s="18" t="s">
        <v>418</v>
      </c>
      <c r="H98" s="20" t="s">
        <v>17</v>
      </c>
      <c r="I98" s="29" t="e">
        <f t="shared" si="3"/>
        <v>#REF!</v>
      </c>
      <c r="J98" s="21" t="s">
        <v>419</v>
      </c>
      <c r="K98" s="7" t="e">
        <f>F97+K97</f>
        <v>#REF!</v>
      </c>
      <c r="L98" s="28" t="s">
        <v>420</v>
      </c>
      <c r="M98" s="26"/>
    </row>
    <row r="99" ht="20.25" spans="1:13">
      <c r="A99" s="14"/>
      <c r="B99" s="15"/>
      <c r="C99" s="16"/>
      <c r="D99" s="17" t="s">
        <v>421</v>
      </c>
      <c r="E99" s="18" t="s">
        <v>422</v>
      </c>
      <c r="F99" s="19">
        <v>1</v>
      </c>
      <c r="G99" s="18" t="s">
        <v>423</v>
      </c>
      <c r="H99" s="20" t="s">
        <v>17</v>
      </c>
      <c r="I99" s="29" t="e">
        <f t="shared" si="3"/>
        <v>#REF!</v>
      </c>
      <c r="J99" s="21" t="s">
        <v>424</v>
      </c>
      <c r="K99" s="7" t="e">
        <f>F98+K98</f>
        <v>#REF!</v>
      </c>
      <c r="L99" s="30" t="s">
        <v>122</v>
      </c>
      <c r="M99" s="26"/>
    </row>
    <row r="100" ht="20.25" spans="1:13">
      <c r="A100" s="14"/>
      <c r="B100" s="15"/>
      <c r="C100" s="16"/>
      <c r="D100" s="17" t="s">
        <v>425</v>
      </c>
      <c r="E100" s="18" t="s">
        <v>426</v>
      </c>
      <c r="F100" s="19">
        <v>1</v>
      </c>
      <c r="G100" s="18" t="s">
        <v>427</v>
      </c>
      <c r="H100" s="20" t="s">
        <v>17</v>
      </c>
      <c r="I100" s="29" t="e">
        <f t="shared" si="3"/>
        <v>#REF!</v>
      </c>
      <c r="J100" s="21" t="s">
        <v>428</v>
      </c>
      <c r="K100" s="7" t="e">
        <f>F99+K99</f>
        <v>#REF!</v>
      </c>
      <c r="L100" s="28" t="s">
        <v>429</v>
      </c>
      <c r="M100" s="26"/>
    </row>
    <row r="101" ht="20.25" spans="1:13">
      <c r="A101" s="14"/>
      <c r="B101" s="15"/>
      <c r="C101" s="16"/>
      <c r="D101" s="17" t="s">
        <v>430</v>
      </c>
      <c r="E101" s="18" t="s">
        <v>431</v>
      </c>
      <c r="F101" s="19">
        <v>1</v>
      </c>
      <c r="G101" s="18" t="s">
        <v>432</v>
      </c>
      <c r="H101" s="20" t="s">
        <v>17</v>
      </c>
      <c r="I101" s="29" t="e">
        <f t="shared" si="3"/>
        <v>#REF!</v>
      </c>
      <c r="J101" s="21" t="s">
        <v>433</v>
      </c>
      <c r="K101" s="7" t="e">
        <f>F100+K100</f>
        <v>#REF!</v>
      </c>
      <c r="L101" s="28" t="s">
        <v>434</v>
      </c>
      <c r="M101" s="26"/>
    </row>
    <row r="102" ht="20.25" spans="1:13">
      <c r="A102" s="14"/>
      <c r="B102" s="15"/>
      <c r="C102" s="16"/>
      <c r="D102" s="17" t="s">
        <v>435</v>
      </c>
      <c r="E102" s="18" t="s">
        <v>436</v>
      </c>
      <c r="F102" s="19">
        <v>1</v>
      </c>
      <c r="G102" s="18" t="s">
        <v>437</v>
      </c>
      <c r="H102" s="20" t="s">
        <v>17</v>
      </c>
      <c r="I102" s="29" t="e">
        <f t="shared" si="3"/>
        <v>#REF!</v>
      </c>
      <c r="J102" s="21" t="s">
        <v>438</v>
      </c>
      <c r="K102" s="7" t="e">
        <f>F101+K101</f>
        <v>#REF!</v>
      </c>
      <c r="L102" s="28" t="s">
        <v>439</v>
      </c>
      <c r="M102" s="26"/>
    </row>
    <row r="103" ht="20.25" spans="1:13">
      <c r="A103" s="14"/>
      <c r="B103" s="15"/>
      <c r="C103" s="16"/>
      <c r="D103" s="17" t="s">
        <v>440</v>
      </c>
      <c r="E103" s="18" t="s">
        <v>441</v>
      </c>
      <c r="F103" s="19">
        <v>1</v>
      </c>
      <c r="G103" s="18" t="s">
        <v>442</v>
      </c>
      <c r="H103" s="20" t="s">
        <v>17</v>
      </c>
      <c r="I103" s="29" t="e">
        <f t="shared" si="3"/>
        <v>#REF!</v>
      </c>
      <c r="J103" s="21" t="s">
        <v>443</v>
      </c>
      <c r="K103" s="7" t="e">
        <f>F102+K102</f>
        <v>#REF!</v>
      </c>
      <c r="L103" s="31" t="s">
        <v>84</v>
      </c>
      <c r="M103" s="26"/>
    </row>
    <row r="104" ht="20.25" spans="1:13">
      <c r="A104" s="14"/>
      <c r="B104" s="15"/>
      <c r="C104" s="16"/>
      <c r="D104" s="17" t="s">
        <v>444</v>
      </c>
      <c r="E104" s="18" t="s">
        <v>445</v>
      </c>
      <c r="F104" s="19">
        <v>1</v>
      </c>
      <c r="G104" s="18" t="s">
        <v>446</v>
      </c>
      <c r="H104" s="20" t="s">
        <v>17</v>
      </c>
      <c r="I104" s="29" t="e">
        <f t="shared" si="3"/>
        <v>#REF!</v>
      </c>
      <c r="J104" s="21" t="s">
        <v>447</v>
      </c>
      <c r="K104" s="7" t="e">
        <f>F103+K103</f>
        <v>#REF!</v>
      </c>
      <c r="L104" s="31" t="s">
        <v>84</v>
      </c>
      <c r="M104" s="26"/>
    </row>
    <row r="105" ht="20.25" spans="1:13">
      <c r="A105" s="14"/>
      <c r="B105" s="15"/>
      <c r="C105" s="16"/>
      <c r="D105" s="17" t="s">
        <v>448</v>
      </c>
      <c r="E105" s="18" t="s">
        <v>449</v>
      </c>
      <c r="F105" s="19">
        <v>4</v>
      </c>
      <c r="G105" s="18" t="s">
        <v>450</v>
      </c>
      <c r="H105" s="20" t="s">
        <v>17</v>
      </c>
      <c r="I105" s="29" t="e">
        <f t="shared" si="3"/>
        <v>#REF!</v>
      </c>
      <c r="J105" s="21" t="s">
        <v>451</v>
      </c>
      <c r="K105" s="7" t="e">
        <f>F104+K104</f>
        <v>#REF!</v>
      </c>
      <c r="L105" s="28" t="s">
        <v>452</v>
      </c>
      <c r="M105" s="26"/>
    </row>
    <row r="106" ht="20.25" spans="1:13">
      <c r="A106" s="14"/>
      <c r="B106" s="15"/>
      <c r="C106" s="16"/>
      <c r="D106" s="17" t="s">
        <v>453</v>
      </c>
      <c r="E106" s="18" t="s">
        <v>454</v>
      </c>
      <c r="F106" s="19">
        <v>1</v>
      </c>
      <c r="G106" s="18" t="s">
        <v>455</v>
      </c>
      <c r="H106" s="20" t="s">
        <v>17</v>
      </c>
      <c r="I106" s="29" t="e">
        <f t="shared" si="3"/>
        <v>#REF!</v>
      </c>
      <c r="J106" s="21" t="s">
        <v>456</v>
      </c>
      <c r="K106" s="7" t="e">
        <f>F105+K105</f>
        <v>#REF!</v>
      </c>
      <c r="L106" s="28" t="s">
        <v>452</v>
      </c>
      <c r="M106" s="26"/>
    </row>
    <row r="107" ht="20.25" spans="1:13">
      <c r="A107" s="14"/>
      <c r="B107" s="15"/>
      <c r="C107" s="16"/>
      <c r="D107" s="17" t="s">
        <v>457</v>
      </c>
      <c r="E107" s="18" t="s">
        <v>458</v>
      </c>
      <c r="F107" s="19">
        <v>1</v>
      </c>
      <c r="G107" s="18" t="s">
        <v>459</v>
      </c>
      <c r="H107" s="20" t="s">
        <v>17</v>
      </c>
      <c r="I107" s="29" t="e">
        <f t="shared" si="3"/>
        <v>#REF!</v>
      </c>
      <c r="J107" s="21" t="s">
        <v>460</v>
      </c>
      <c r="K107" s="7" t="e">
        <f>F106+K106</f>
        <v>#REF!</v>
      </c>
      <c r="L107" s="39" t="s">
        <v>461</v>
      </c>
      <c r="M107" s="40"/>
    </row>
    <row r="108" ht="20.25" spans="1:13">
      <c r="A108" s="14"/>
      <c r="B108" s="15"/>
      <c r="C108" s="16"/>
      <c r="D108" s="17" t="s">
        <v>462</v>
      </c>
      <c r="E108" s="18" t="s">
        <v>463</v>
      </c>
      <c r="F108" s="19">
        <v>1</v>
      </c>
      <c r="G108" s="18" t="s">
        <v>464</v>
      </c>
      <c r="H108" s="20" t="s">
        <v>17</v>
      </c>
      <c r="I108" s="29" t="e">
        <f t="shared" si="3"/>
        <v>#REF!</v>
      </c>
      <c r="J108" s="21" t="s">
        <v>465</v>
      </c>
      <c r="K108" s="7" t="e">
        <f>F107+K107</f>
        <v>#REF!</v>
      </c>
      <c r="L108" s="39" t="s">
        <v>461</v>
      </c>
      <c r="M108" s="40"/>
    </row>
    <row r="109" ht="20.25" spans="1:13">
      <c r="A109" s="14"/>
      <c r="B109" s="15"/>
      <c r="C109" s="16"/>
      <c r="D109" s="17" t="s">
        <v>466</v>
      </c>
      <c r="E109" s="18" t="s">
        <v>467</v>
      </c>
      <c r="F109" s="19">
        <v>1</v>
      </c>
      <c r="G109" s="18" t="s">
        <v>468</v>
      </c>
      <c r="H109" s="20" t="s">
        <v>17</v>
      </c>
      <c r="I109" s="29" t="e">
        <f t="shared" si="3"/>
        <v>#REF!</v>
      </c>
      <c r="J109" s="21" t="s">
        <v>469</v>
      </c>
      <c r="K109" s="7" t="e">
        <f>F108+K108</f>
        <v>#REF!</v>
      </c>
      <c r="L109" s="39" t="s">
        <v>461</v>
      </c>
      <c r="M109" s="40"/>
    </row>
    <row r="110" ht="20.25" spans="1:13">
      <c r="A110" s="14"/>
      <c r="B110" s="15"/>
      <c r="C110" s="16"/>
      <c r="D110" s="17" t="s">
        <v>470</v>
      </c>
      <c r="E110" s="18" t="s">
        <v>471</v>
      </c>
      <c r="F110" s="19">
        <v>1</v>
      </c>
      <c r="G110" s="18" t="s">
        <v>472</v>
      </c>
      <c r="H110" s="20" t="s">
        <v>17</v>
      </c>
      <c r="I110" s="29" t="e">
        <f t="shared" si="3"/>
        <v>#REF!</v>
      </c>
      <c r="J110" s="21" t="s">
        <v>473</v>
      </c>
      <c r="K110" s="7" t="e">
        <f>F109+K109</f>
        <v>#REF!</v>
      </c>
      <c r="L110" s="39" t="s">
        <v>461</v>
      </c>
      <c r="M110" s="40"/>
    </row>
    <row r="111" ht="20.25" spans="1:13">
      <c r="A111" s="14"/>
      <c r="B111" s="15"/>
      <c r="C111" s="16"/>
      <c r="D111" s="17" t="s">
        <v>474</v>
      </c>
      <c r="E111" s="18" t="s">
        <v>475</v>
      </c>
      <c r="F111" s="19">
        <v>1</v>
      </c>
      <c r="G111" s="18" t="s">
        <v>476</v>
      </c>
      <c r="H111" s="20" t="s">
        <v>17</v>
      </c>
      <c r="I111" s="29" t="e">
        <f t="shared" si="3"/>
        <v>#REF!</v>
      </c>
      <c r="J111" s="21" t="s">
        <v>477</v>
      </c>
      <c r="K111" s="7" t="e">
        <f>F110+K110</f>
        <v>#REF!</v>
      </c>
      <c r="L111" s="28" t="s">
        <v>478</v>
      </c>
      <c r="M111" s="26"/>
    </row>
    <row r="112" ht="20.25" spans="1:13">
      <c r="A112" s="14"/>
      <c r="B112" s="15"/>
      <c r="C112" s="16"/>
      <c r="D112" s="17" t="s">
        <v>479</v>
      </c>
      <c r="E112" s="18" t="s">
        <v>480</v>
      </c>
      <c r="F112" s="19">
        <v>1</v>
      </c>
      <c r="G112" s="18" t="s">
        <v>481</v>
      </c>
      <c r="H112" s="20" t="s">
        <v>17</v>
      </c>
      <c r="I112" s="29" t="e">
        <f t="shared" si="3"/>
        <v>#REF!</v>
      </c>
      <c r="J112" s="21" t="s">
        <v>482</v>
      </c>
      <c r="K112" s="7" t="e">
        <f>F111+K111</f>
        <v>#REF!</v>
      </c>
      <c r="L112" s="39" t="s">
        <v>461</v>
      </c>
      <c r="M112" s="26"/>
    </row>
    <row r="113" ht="20.25" spans="1:13">
      <c r="A113" s="14"/>
      <c r="B113" s="15"/>
      <c r="C113" s="16"/>
      <c r="D113" s="17" t="s">
        <v>483</v>
      </c>
      <c r="E113" s="18" t="s">
        <v>484</v>
      </c>
      <c r="F113" s="19">
        <v>1</v>
      </c>
      <c r="G113" s="18" t="s">
        <v>485</v>
      </c>
      <c r="H113" s="20" t="s">
        <v>17</v>
      </c>
      <c r="I113" s="29" t="e">
        <f t="shared" si="3"/>
        <v>#REF!</v>
      </c>
      <c r="J113" s="21" t="s">
        <v>486</v>
      </c>
      <c r="K113" s="7" t="e">
        <f>F112+K112</f>
        <v>#REF!</v>
      </c>
      <c r="L113" s="39" t="s">
        <v>461</v>
      </c>
      <c r="M113" s="26"/>
    </row>
    <row r="114" ht="20.25" spans="1:13">
      <c r="A114" s="14"/>
      <c r="B114" s="15"/>
      <c r="C114" s="16"/>
      <c r="D114" s="17" t="s">
        <v>487</v>
      </c>
      <c r="E114" s="18" t="s">
        <v>488</v>
      </c>
      <c r="F114" s="19">
        <v>1</v>
      </c>
      <c r="G114" s="18" t="s">
        <v>489</v>
      </c>
      <c r="H114" s="20" t="s">
        <v>17</v>
      </c>
      <c r="I114" s="29" t="e">
        <f t="shared" si="3"/>
        <v>#REF!</v>
      </c>
      <c r="J114" s="21" t="s">
        <v>490</v>
      </c>
      <c r="K114" s="7" t="e">
        <f>F113+K113</f>
        <v>#REF!</v>
      </c>
      <c r="L114" s="39" t="s">
        <v>461</v>
      </c>
      <c r="M114" s="26"/>
    </row>
    <row r="115" ht="18.75" customHeight="1" spans="1:13">
      <c r="A115" s="14"/>
      <c r="B115" s="15"/>
      <c r="C115" s="16"/>
      <c r="D115" s="17" t="s">
        <v>491</v>
      </c>
      <c r="E115" s="18" t="s">
        <v>492</v>
      </c>
      <c r="F115" s="19">
        <v>1</v>
      </c>
      <c r="G115" s="18" t="s">
        <v>493</v>
      </c>
      <c r="H115" s="20" t="s">
        <v>17</v>
      </c>
      <c r="I115" s="29" t="e">
        <f t="shared" si="3"/>
        <v>#REF!</v>
      </c>
      <c r="J115" s="21" t="s">
        <v>494</v>
      </c>
      <c r="K115" s="7" t="e">
        <f>F114+K114</f>
        <v>#REF!</v>
      </c>
      <c r="L115" s="41" t="s">
        <v>495</v>
      </c>
      <c r="M115" s="26"/>
    </row>
    <row r="116" ht="20.25" spans="1:13">
      <c r="A116" s="14"/>
      <c r="B116" s="15"/>
      <c r="C116" s="16"/>
      <c r="D116" s="17" t="s">
        <v>496</v>
      </c>
      <c r="E116" s="18" t="s">
        <v>497</v>
      </c>
      <c r="F116" s="19">
        <v>4</v>
      </c>
      <c r="G116" s="18" t="s">
        <v>498</v>
      </c>
      <c r="H116" s="20" t="s">
        <v>17</v>
      </c>
      <c r="I116" s="29" t="e">
        <f t="shared" si="3"/>
        <v>#REF!</v>
      </c>
      <c r="J116" s="21" t="s">
        <v>499</v>
      </c>
      <c r="K116" s="7" t="e">
        <f>F115+K115</f>
        <v>#REF!</v>
      </c>
      <c r="L116" s="39" t="s">
        <v>461</v>
      </c>
      <c r="M116" s="26"/>
    </row>
    <row r="117" ht="18.75" customHeight="1" spans="1:13">
      <c r="A117" s="14"/>
      <c r="B117" s="15"/>
      <c r="C117" s="16"/>
      <c r="D117" s="17" t="s">
        <v>500</v>
      </c>
      <c r="E117" s="18" t="s">
        <v>501</v>
      </c>
      <c r="F117" s="19">
        <v>1</v>
      </c>
      <c r="G117" s="18" t="s">
        <v>502</v>
      </c>
      <c r="H117" s="20" t="s">
        <v>17</v>
      </c>
      <c r="I117" s="29" t="e">
        <f t="shared" si="3"/>
        <v>#REF!</v>
      </c>
      <c r="J117" s="21" t="s">
        <v>494</v>
      </c>
      <c r="K117" s="7" t="e">
        <f>F116+K116</f>
        <v>#REF!</v>
      </c>
      <c r="L117" s="41" t="s">
        <v>495</v>
      </c>
      <c r="M117" s="26"/>
    </row>
    <row r="118" ht="20.25" spans="1:13">
      <c r="A118" s="14"/>
      <c r="B118" s="15"/>
      <c r="C118" s="16"/>
      <c r="D118" s="17" t="s">
        <v>503</v>
      </c>
      <c r="E118" s="18" t="s">
        <v>504</v>
      </c>
      <c r="F118" s="19">
        <v>1</v>
      </c>
      <c r="G118" s="18" t="s">
        <v>505</v>
      </c>
      <c r="H118" s="20" t="s">
        <v>17</v>
      </c>
      <c r="I118" s="29" t="e">
        <f t="shared" si="3"/>
        <v>#REF!</v>
      </c>
      <c r="J118" s="21" t="s">
        <v>499</v>
      </c>
      <c r="K118" s="7" t="e">
        <f t="shared" ref="K118:K138" si="4">F117+K117</f>
        <v>#REF!</v>
      </c>
      <c r="L118" s="39" t="s">
        <v>461</v>
      </c>
      <c r="M118" s="26"/>
    </row>
    <row r="119" ht="20.25" spans="1:13">
      <c r="A119" s="14"/>
      <c r="B119" s="15"/>
      <c r="C119" s="16"/>
      <c r="D119" s="36" t="s">
        <v>506</v>
      </c>
      <c r="E119" s="18" t="s">
        <v>507</v>
      </c>
      <c r="F119" s="19">
        <v>2</v>
      </c>
      <c r="G119" s="18" t="s">
        <v>508</v>
      </c>
      <c r="H119" s="20" t="s">
        <v>17</v>
      </c>
      <c r="I119" s="29" t="e">
        <f t="shared" si="3"/>
        <v>#REF!</v>
      </c>
      <c r="J119" s="21" t="s">
        <v>509</v>
      </c>
      <c r="K119" s="7" t="e">
        <f t="shared" si="4"/>
        <v>#REF!</v>
      </c>
      <c r="L119" s="28" t="s">
        <v>452</v>
      </c>
      <c r="M119" s="26"/>
    </row>
    <row r="120" ht="20.25" spans="1:13">
      <c r="A120" s="14"/>
      <c r="B120" s="15"/>
      <c r="C120" s="16"/>
      <c r="D120" s="17" t="s">
        <v>510</v>
      </c>
      <c r="E120" s="18" t="s">
        <v>511</v>
      </c>
      <c r="F120" s="19">
        <v>1</v>
      </c>
      <c r="G120" s="18" t="s">
        <v>512</v>
      </c>
      <c r="H120" s="20" t="s">
        <v>17</v>
      </c>
      <c r="I120" s="29" t="e">
        <f t="shared" si="3"/>
        <v>#REF!</v>
      </c>
      <c r="J120" s="21" t="s">
        <v>513</v>
      </c>
      <c r="K120" s="7" t="e">
        <f t="shared" si="4"/>
        <v>#REF!</v>
      </c>
      <c r="L120" s="28" t="s">
        <v>514</v>
      </c>
      <c r="M120" s="26"/>
    </row>
    <row r="121" ht="20.25" spans="1:13">
      <c r="A121" s="14"/>
      <c r="B121" s="15"/>
      <c r="C121" s="16"/>
      <c r="D121" s="17" t="s">
        <v>515</v>
      </c>
      <c r="E121" s="18" t="s">
        <v>516</v>
      </c>
      <c r="F121" s="19">
        <v>1</v>
      </c>
      <c r="G121" s="18" t="s">
        <v>517</v>
      </c>
      <c r="H121" s="20" t="s">
        <v>17</v>
      </c>
      <c r="I121" s="29" t="e">
        <f t="shared" si="3"/>
        <v>#REF!</v>
      </c>
      <c r="J121" s="21" t="s">
        <v>518</v>
      </c>
      <c r="K121" s="7" t="e">
        <f t="shared" si="4"/>
        <v>#REF!</v>
      </c>
      <c r="L121" s="31" t="s">
        <v>84</v>
      </c>
      <c r="M121" s="26"/>
    </row>
    <row r="122" ht="20.25" spans="1:13">
      <c r="A122" s="14"/>
      <c r="B122" s="15"/>
      <c r="C122" s="16"/>
      <c r="D122" s="17" t="s">
        <v>519</v>
      </c>
      <c r="E122" s="18" t="s">
        <v>520</v>
      </c>
      <c r="F122" s="19">
        <v>4</v>
      </c>
      <c r="G122" s="18" t="s">
        <v>521</v>
      </c>
      <c r="H122" s="20" t="s">
        <v>17</v>
      </c>
      <c r="I122" s="29" t="e">
        <f t="shared" si="3"/>
        <v>#REF!</v>
      </c>
      <c r="J122" s="21" t="s">
        <v>522</v>
      </c>
      <c r="K122" s="7" t="e">
        <f t="shared" si="4"/>
        <v>#REF!</v>
      </c>
      <c r="L122" s="28"/>
      <c r="M122" s="26"/>
    </row>
    <row r="123" ht="20.25" spans="1:13">
      <c r="A123" s="14"/>
      <c r="B123" s="15"/>
      <c r="C123" s="16"/>
      <c r="D123" s="17" t="s">
        <v>523</v>
      </c>
      <c r="E123" s="18" t="s">
        <v>524</v>
      </c>
      <c r="F123" s="19">
        <v>2</v>
      </c>
      <c r="G123" s="18" t="s">
        <v>525</v>
      </c>
      <c r="H123" s="20" t="s">
        <v>17</v>
      </c>
      <c r="I123" s="29" t="e">
        <f t="shared" si="3"/>
        <v>#REF!</v>
      </c>
      <c r="J123" s="21" t="s">
        <v>526</v>
      </c>
      <c r="K123" s="7" t="e">
        <f t="shared" si="4"/>
        <v>#REF!</v>
      </c>
      <c r="L123" s="28"/>
      <c r="M123" s="26"/>
    </row>
    <row r="124" ht="20.25" spans="1:13">
      <c r="A124" s="14"/>
      <c r="B124" s="15"/>
      <c r="C124" s="16"/>
      <c r="D124" s="17" t="s">
        <v>527</v>
      </c>
      <c r="E124" s="18" t="s">
        <v>528</v>
      </c>
      <c r="F124" s="19">
        <v>1</v>
      </c>
      <c r="G124" s="18" t="s">
        <v>529</v>
      </c>
      <c r="H124" s="20" t="s">
        <v>17</v>
      </c>
      <c r="I124" s="29" t="e">
        <f t="shared" si="3"/>
        <v>#REF!</v>
      </c>
      <c r="J124" s="21" t="s">
        <v>530</v>
      </c>
      <c r="K124" s="7" t="e">
        <f t="shared" si="4"/>
        <v>#REF!</v>
      </c>
      <c r="L124" s="28" t="s">
        <v>531</v>
      </c>
      <c r="M124" s="26"/>
    </row>
    <row r="125" ht="20.25" spans="1:13">
      <c r="A125" s="14"/>
      <c r="B125" s="15"/>
      <c r="C125" s="16"/>
      <c r="D125" s="22" t="s">
        <v>217</v>
      </c>
      <c r="E125" s="22" t="s">
        <v>217</v>
      </c>
      <c r="F125" s="23">
        <v>1</v>
      </c>
      <c r="G125" s="22" t="s">
        <v>217</v>
      </c>
      <c r="H125" s="24" t="s">
        <v>17</v>
      </c>
      <c r="I125" s="32" t="e">
        <f t="shared" si="3"/>
        <v>#REF!</v>
      </c>
      <c r="J125" s="33"/>
      <c r="K125" s="7" t="e">
        <f t="shared" si="4"/>
        <v>#REF!</v>
      </c>
      <c r="L125" s="28"/>
      <c r="M125" s="26"/>
    </row>
    <row r="126" ht="20.25" customHeight="1" spans="1:13">
      <c r="A126" s="14"/>
      <c r="B126" s="15" t="s">
        <v>532</v>
      </c>
      <c r="C126" s="16" t="e">
        <f>SUM(F140,K140)-K126</f>
        <v>#REF!</v>
      </c>
      <c r="D126" s="17" t="s">
        <v>533</v>
      </c>
      <c r="E126" s="18" t="s">
        <v>534</v>
      </c>
      <c r="F126" s="19">
        <v>1</v>
      </c>
      <c r="G126" s="18" t="s">
        <v>535</v>
      </c>
      <c r="H126" s="20" t="s">
        <v>17</v>
      </c>
      <c r="I126" s="29" t="e">
        <f t="shared" si="3"/>
        <v>#REF!</v>
      </c>
      <c r="J126" s="21" t="s">
        <v>536</v>
      </c>
      <c r="K126" s="7" t="e">
        <f t="shared" si="4"/>
        <v>#REF!</v>
      </c>
      <c r="L126" s="28" t="s">
        <v>337</v>
      </c>
      <c r="M126" s="26"/>
    </row>
    <row r="127" ht="20.25" spans="1:13">
      <c r="A127" s="14"/>
      <c r="B127" s="15"/>
      <c r="C127" s="16"/>
      <c r="D127" s="17" t="s">
        <v>537</v>
      </c>
      <c r="E127" s="18" t="s">
        <v>538</v>
      </c>
      <c r="F127" s="19">
        <v>1</v>
      </c>
      <c r="G127" s="18" t="s">
        <v>539</v>
      </c>
      <c r="H127" s="20" t="s">
        <v>17</v>
      </c>
      <c r="I127" s="29" t="e">
        <f t="shared" si="3"/>
        <v>#REF!</v>
      </c>
      <c r="J127" s="21" t="s">
        <v>540</v>
      </c>
      <c r="K127" s="7" t="e">
        <f t="shared" si="4"/>
        <v>#REF!</v>
      </c>
      <c r="L127" s="28" t="s">
        <v>337</v>
      </c>
      <c r="M127" s="26"/>
    </row>
    <row r="128" ht="20.25" spans="1:13">
      <c r="A128" s="14"/>
      <c r="B128" s="15"/>
      <c r="C128" s="16"/>
      <c r="D128" s="17" t="s">
        <v>541</v>
      </c>
      <c r="E128" s="18" t="s">
        <v>542</v>
      </c>
      <c r="F128" s="19">
        <v>2</v>
      </c>
      <c r="G128" s="18" t="s">
        <v>543</v>
      </c>
      <c r="H128" s="20" t="s">
        <v>17</v>
      </c>
      <c r="I128" s="29" t="e">
        <f t="shared" si="3"/>
        <v>#REF!</v>
      </c>
      <c r="J128" s="17" t="s">
        <v>544</v>
      </c>
      <c r="K128" s="7" t="e">
        <f t="shared" si="4"/>
        <v>#REF!</v>
      </c>
      <c r="L128" s="28" t="s">
        <v>337</v>
      </c>
      <c r="M128" s="26"/>
    </row>
    <row r="129" ht="20.25" spans="1:13">
      <c r="A129" s="14"/>
      <c r="B129" s="15"/>
      <c r="C129" s="16"/>
      <c r="D129" s="17" t="s">
        <v>545</v>
      </c>
      <c r="E129" s="18" t="s">
        <v>546</v>
      </c>
      <c r="F129" s="19">
        <v>2</v>
      </c>
      <c r="G129" s="18" t="s">
        <v>547</v>
      </c>
      <c r="H129" s="20" t="s">
        <v>17</v>
      </c>
      <c r="I129" s="29" t="e">
        <f t="shared" si="3"/>
        <v>#REF!</v>
      </c>
      <c r="J129" s="17" t="s">
        <v>548</v>
      </c>
      <c r="K129" s="7" t="e">
        <f t="shared" si="4"/>
        <v>#REF!</v>
      </c>
      <c r="L129" s="28" t="s">
        <v>337</v>
      </c>
      <c r="M129" s="26"/>
    </row>
    <row r="130" ht="20.25" spans="1:13">
      <c r="A130" s="14"/>
      <c r="B130" s="15"/>
      <c r="C130" s="16"/>
      <c r="D130" s="17" t="s">
        <v>549</v>
      </c>
      <c r="E130" s="18" t="s">
        <v>550</v>
      </c>
      <c r="F130" s="19">
        <v>2</v>
      </c>
      <c r="G130" s="18" t="s">
        <v>551</v>
      </c>
      <c r="H130" s="20" t="s">
        <v>17</v>
      </c>
      <c r="I130" s="29" t="e">
        <f t="shared" si="3"/>
        <v>#REF!</v>
      </c>
      <c r="J130" s="17" t="s">
        <v>552</v>
      </c>
      <c r="K130" s="7" t="e">
        <f t="shared" si="4"/>
        <v>#REF!</v>
      </c>
      <c r="L130" s="28" t="s">
        <v>337</v>
      </c>
      <c r="M130" s="26"/>
    </row>
    <row r="131" ht="20.25" spans="1:13">
      <c r="A131" s="14"/>
      <c r="B131" s="15"/>
      <c r="C131" s="16"/>
      <c r="D131" s="17" t="s">
        <v>553</v>
      </c>
      <c r="E131" s="18" t="s">
        <v>554</v>
      </c>
      <c r="F131" s="19">
        <v>1</v>
      </c>
      <c r="G131" s="18" t="s">
        <v>555</v>
      </c>
      <c r="H131" s="20" t="s">
        <v>17</v>
      </c>
      <c r="I131" s="29" t="e">
        <f t="shared" ref="I131:I184" si="5">DEC2HEX(K131)</f>
        <v>#REF!</v>
      </c>
      <c r="J131" s="17" t="s">
        <v>553</v>
      </c>
      <c r="K131" s="7" t="e">
        <f t="shared" si="4"/>
        <v>#REF!</v>
      </c>
      <c r="L131" s="28" t="s">
        <v>337</v>
      </c>
      <c r="M131" s="26"/>
    </row>
    <row r="132" ht="20.25" spans="1:13">
      <c r="A132" s="14"/>
      <c r="B132" s="15"/>
      <c r="C132" s="16"/>
      <c r="D132" s="17" t="s">
        <v>556</v>
      </c>
      <c r="E132" s="18" t="s">
        <v>557</v>
      </c>
      <c r="F132" s="19">
        <v>1</v>
      </c>
      <c r="G132" s="18" t="s">
        <v>558</v>
      </c>
      <c r="H132" s="20" t="s">
        <v>17</v>
      </c>
      <c r="I132" s="29" t="e">
        <f t="shared" si="5"/>
        <v>#REF!</v>
      </c>
      <c r="J132" s="17" t="s">
        <v>556</v>
      </c>
      <c r="K132" s="7" t="e">
        <f t="shared" si="4"/>
        <v>#REF!</v>
      </c>
      <c r="L132" s="28" t="s">
        <v>337</v>
      </c>
      <c r="M132" s="26"/>
    </row>
    <row r="133" ht="20.25" spans="1:13">
      <c r="A133" s="14"/>
      <c r="B133" s="15"/>
      <c r="C133" s="16"/>
      <c r="D133" s="17" t="s">
        <v>559</v>
      </c>
      <c r="E133" s="18" t="s">
        <v>560</v>
      </c>
      <c r="F133" s="19">
        <v>1</v>
      </c>
      <c r="G133" s="18" t="s">
        <v>561</v>
      </c>
      <c r="H133" s="20" t="s">
        <v>17</v>
      </c>
      <c r="I133" s="29" t="e">
        <f t="shared" si="5"/>
        <v>#REF!</v>
      </c>
      <c r="J133" s="17" t="s">
        <v>559</v>
      </c>
      <c r="K133" s="7" t="e">
        <f t="shared" si="4"/>
        <v>#REF!</v>
      </c>
      <c r="L133" s="28" t="s">
        <v>337</v>
      </c>
      <c r="M133" s="26"/>
    </row>
    <row r="134" ht="20.25" spans="1:13">
      <c r="A134" s="14"/>
      <c r="B134" s="15"/>
      <c r="C134" s="16"/>
      <c r="D134" s="17" t="s">
        <v>562</v>
      </c>
      <c r="E134" s="18" t="s">
        <v>563</v>
      </c>
      <c r="F134" s="19">
        <v>1</v>
      </c>
      <c r="G134" s="18" t="s">
        <v>564</v>
      </c>
      <c r="H134" s="20" t="s">
        <v>17</v>
      </c>
      <c r="I134" s="29" t="e">
        <f t="shared" si="5"/>
        <v>#REF!</v>
      </c>
      <c r="J134" s="17" t="s">
        <v>562</v>
      </c>
      <c r="K134" s="7" t="e">
        <f t="shared" si="4"/>
        <v>#REF!</v>
      </c>
      <c r="L134" s="28" t="s">
        <v>337</v>
      </c>
      <c r="M134" s="26"/>
    </row>
    <row r="135" s="1" customFormat="1" ht="20.25" spans="1:12">
      <c r="A135" s="14"/>
      <c r="B135" s="15"/>
      <c r="C135" s="16"/>
      <c r="D135" s="17" t="s">
        <v>565</v>
      </c>
      <c r="E135" s="18" t="s">
        <v>566</v>
      </c>
      <c r="F135" s="19">
        <v>1</v>
      </c>
      <c r="G135" s="18" t="s">
        <v>567</v>
      </c>
      <c r="H135" s="20" t="s">
        <v>17</v>
      </c>
      <c r="I135" s="29" t="e">
        <f t="shared" si="5"/>
        <v>#REF!</v>
      </c>
      <c r="J135" s="17" t="s">
        <v>565</v>
      </c>
      <c r="K135" s="7" t="e">
        <f t="shared" si="4"/>
        <v>#REF!</v>
      </c>
      <c r="L135" s="28" t="s">
        <v>337</v>
      </c>
    </row>
    <row r="136" s="1" customFormat="1" ht="20.25" spans="1:12">
      <c r="A136" s="14"/>
      <c r="B136" s="15"/>
      <c r="C136" s="16"/>
      <c r="D136" s="17" t="s">
        <v>568</v>
      </c>
      <c r="E136" s="18" t="s">
        <v>569</v>
      </c>
      <c r="F136" s="19">
        <v>1</v>
      </c>
      <c r="G136" s="18" t="s">
        <v>570</v>
      </c>
      <c r="H136" s="20" t="s">
        <v>17</v>
      </c>
      <c r="I136" s="29" t="e">
        <f t="shared" si="5"/>
        <v>#REF!</v>
      </c>
      <c r="J136" s="17" t="s">
        <v>568</v>
      </c>
      <c r="K136" s="7" t="e">
        <f t="shared" si="4"/>
        <v>#REF!</v>
      </c>
      <c r="L136" s="28" t="s">
        <v>337</v>
      </c>
    </row>
    <row r="137" s="1" customFormat="1" ht="20.25" spans="1:12">
      <c r="A137" s="14"/>
      <c r="B137" s="15"/>
      <c r="C137" s="16"/>
      <c r="D137" s="17" t="s">
        <v>571</v>
      </c>
      <c r="E137" s="18" t="s">
        <v>572</v>
      </c>
      <c r="F137" s="19">
        <v>4</v>
      </c>
      <c r="G137" s="18" t="s">
        <v>573</v>
      </c>
      <c r="H137" s="20" t="s">
        <v>17</v>
      </c>
      <c r="I137" s="29" t="e">
        <f t="shared" si="5"/>
        <v>#REF!</v>
      </c>
      <c r="J137" s="17" t="s">
        <v>571</v>
      </c>
      <c r="K137" s="7" t="e">
        <f t="shared" si="4"/>
        <v>#REF!</v>
      </c>
      <c r="L137" s="28" t="s">
        <v>337</v>
      </c>
    </row>
    <row r="138" s="1" customFormat="1" ht="20.25" spans="1:12">
      <c r="A138" s="14"/>
      <c r="B138" s="15"/>
      <c r="C138" s="16"/>
      <c r="D138" s="17" t="s">
        <v>574</v>
      </c>
      <c r="E138" s="18" t="s">
        <v>575</v>
      </c>
      <c r="F138" s="19">
        <v>4</v>
      </c>
      <c r="G138" s="18" t="s">
        <v>576</v>
      </c>
      <c r="H138" s="20" t="s">
        <v>17</v>
      </c>
      <c r="I138" s="29" t="e">
        <f t="shared" si="5"/>
        <v>#REF!</v>
      </c>
      <c r="J138" s="17" t="s">
        <v>574</v>
      </c>
      <c r="K138" s="7" t="e">
        <f t="shared" si="4"/>
        <v>#REF!</v>
      </c>
      <c r="L138" s="46" t="s">
        <v>577</v>
      </c>
    </row>
    <row r="139" s="1" customFormat="1" ht="20.25" spans="1:12">
      <c r="A139" s="14"/>
      <c r="B139" s="15"/>
      <c r="C139" s="16"/>
      <c r="D139" s="17" t="s">
        <v>578</v>
      </c>
      <c r="E139" s="18" t="s">
        <v>579</v>
      </c>
      <c r="F139" s="19">
        <v>1</v>
      </c>
      <c r="G139" s="18" t="s">
        <v>580</v>
      </c>
      <c r="H139" s="20" t="s">
        <v>17</v>
      </c>
      <c r="I139" s="29" t="str">
        <f t="shared" si="5"/>
        <v>F0</v>
      </c>
      <c r="J139" s="17" t="s">
        <v>578</v>
      </c>
      <c r="K139" s="7">
        <v>240</v>
      </c>
      <c r="L139" s="46" t="s">
        <v>581</v>
      </c>
    </row>
    <row r="140" ht="20.25" spans="1:13">
      <c r="A140" s="14"/>
      <c r="B140" s="15"/>
      <c r="C140" s="16"/>
      <c r="D140" s="22" t="s">
        <v>217</v>
      </c>
      <c r="E140" s="22" t="s">
        <v>217</v>
      </c>
      <c r="F140" s="23">
        <v>2</v>
      </c>
      <c r="G140" s="22" t="s">
        <v>217</v>
      </c>
      <c r="H140" s="24" t="s">
        <v>17</v>
      </c>
      <c r="I140" s="29" t="str">
        <f t="shared" si="5"/>
        <v>F1</v>
      </c>
      <c r="J140" s="33"/>
      <c r="K140" s="47">
        <f t="shared" ref="K140:K158" si="6">F139+K139</f>
        <v>241</v>
      </c>
      <c r="L140" s="28"/>
      <c r="M140" s="26"/>
    </row>
    <row r="141" ht="20.25" customHeight="1" spans="1:13">
      <c r="A141" s="14"/>
      <c r="B141" s="15" t="s">
        <v>582</v>
      </c>
      <c r="C141" s="16">
        <f>SUM(F146,K146)-K141</f>
        <v>20</v>
      </c>
      <c r="D141" s="17" t="s">
        <v>583</v>
      </c>
      <c r="E141" s="18" t="s">
        <v>584</v>
      </c>
      <c r="F141" s="19">
        <v>8</v>
      </c>
      <c r="G141" s="18" t="s">
        <v>585</v>
      </c>
      <c r="H141" s="20" t="s">
        <v>17</v>
      </c>
      <c r="I141" s="29" t="str">
        <f t="shared" si="5"/>
        <v>F3</v>
      </c>
      <c r="J141" s="17" t="s">
        <v>586</v>
      </c>
      <c r="K141" s="7">
        <f t="shared" si="6"/>
        <v>243</v>
      </c>
      <c r="L141" s="28" t="s">
        <v>587</v>
      </c>
      <c r="M141" s="26"/>
    </row>
    <row r="142" ht="20.25" spans="1:13">
      <c r="A142" s="14"/>
      <c r="B142" s="14"/>
      <c r="C142" s="16"/>
      <c r="D142" s="17" t="s">
        <v>588</v>
      </c>
      <c r="E142" s="18" t="s">
        <v>589</v>
      </c>
      <c r="F142" s="19">
        <v>8</v>
      </c>
      <c r="G142" s="18" t="s">
        <v>590</v>
      </c>
      <c r="H142" s="20" t="s">
        <v>17</v>
      </c>
      <c r="I142" s="29" t="str">
        <f t="shared" si="5"/>
        <v>FB</v>
      </c>
      <c r="J142" s="17" t="s">
        <v>591</v>
      </c>
      <c r="K142" s="7">
        <f t="shared" si="6"/>
        <v>251</v>
      </c>
      <c r="L142" s="28" t="s">
        <v>587</v>
      </c>
      <c r="M142" s="26"/>
    </row>
    <row r="143" ht="18.75" customHeight="1" spans="1:13">
      <c r="A143" s="14"/>
      <c r="B143" s="14"/>
      <c r="C143" s="16"/>
      <c r="D143" s="17" t="s">
        <v>592</v>
      </c>
      <c r="E143" s="18" t="s">
        <v>593</v>
      </c>
      <c r="F143" s="19">
        <v>1</v>
      </c>
      <c r="G143" s="18" t="s">
        <v>594</v>
      </c>
      <c r="H143" s="20" t="s">
        <v>17</v>
      </c>
      <c r="I143" s="29" t="str">
        <f t="shared" si="5"/>
        <v>103</v>
      </c>
      <c r="J143" s="21" t="s">
        <v>595</v>
      </c>
      <c r="K143" s="7">
        <f t="shared" si="6"/>
        <v>259</v>
      </c>
      <c r="L143" s="48" t="s">
        <v>596</v>
      </c>
      <c r="M143" s="26"/>
    </row>
    <row r="144" ht="20.25" spans="1:13">
      <c r="A144" s="14"/>
      <c r="B144" s="14"/>
      <c r="C144" s="16"/>
      <c r="D144" s="17" t="s">
        <v>597</v>
      </c>
      <c r="E144" s="18" t="s">
        <v>598</v>
      </c>
      <c r="F144" s="19">
        <v>1</v>
      </c>
      <c r="G144" s="18" t="s">
        <v>599</v>
      </c>
      <c r="H144" s="20" t="s">
        <v>17</v>
      </c>
      <c r="I144" s="29" t="str">
        <f t="shared" si="5"/>
        <v>104</v>
      </c>
      <c r="J144" s="21" t="s">
        <v>600</v>
      </c>
      <c r="K144" s="7">
        <f t="shared" si="6"/>
        <v>260</v>
      </c>
      <c r="L144" s="28" t="s">
        <v>601</v>
      </c>
      <c r="M144" s="26"/>
    </row>
    <row r="145" ht="20.25" spans="1:13">
      <c r="A145" s="14"/>
      <c r="B145" s="14"/>
      <c r="C145" s="16"/>
      <c r="D145" s="17" t="s">
        <v>602</v>
      </c>
      <c r="E145" s="18" t="s">
        <v>603</v>
      </c>
      <c r="F145" s="19">
        <v>1</v>
      </c>
      <c r="G145" s="18" t="s">
        <v>604</v>
      </c>
      <c r="H145" s="20" t="s">
        <v>17</v>
      </c>
      <c r="I145" s="29" t="str">
        <f t="shared" si="5"/>
        <v>105</v>
      </c>
      <c r="J145" s="21" t="s">
        <v>605</v>
      </c>
      <c r="K145" s="7">
        <f t="shared" si="6"/>
        <v>261</v>
      </c>
      <c r="L145" s="49" t="s">
        <v>606</v>
      </c>
      <c r="M145" s="26"/>
    </row>
    <row r="146" ht="20.25" spans="1:13">
      <c r="A146" s="14"/>
      <c r="B146" s="15"/>
      <c r="C146" s="16"/>
      <c r="D146" s="42" t="s">
        <v>607</v>
      </c>
      <c r="E146" s="18"/>
      <c r="F146" s="19">
        <v>1</v>
      </c>
      <c r="G146" s="18"/>
      <c r="H146" s="20" t="s">
        <v>17</v>
      </c>
      <c r="I146" s="29" t="str">
        <f t="shared" si="5"/>
        <v>106</v>
      </c>
      <c r="J146" s="28"/>
      <c r="K146" s="7">
        <f t="shared" si="6"/>
        <v>262</v>
      </c>
      <c r="L146" s="48" t="s">
        <v>596</v>
      </c>
      <c r="M146" s="26"/>
    </row>
    <row r="147" ht="20.1" customHeight="1" spans="1:13">
      <c r="A147" s="15" t="s">
        <v>608</v>
      </c>
      <c r="B147" s="15" t="s">
        <v>582</v>
      </c>
      <c r="C147" s="16">
        <f>SUM(F159,K159)-K147</f>
        <v>39</v>
      </c>
      <c r="D147" s="17" t="s">
        <v>609</v>
      </c>
      <c r="E147" s="18" t="s">
        <v>610</v>
      </c>
      <c r="F147" s="19">
        <v>4</v>
      </c>
      <c r="G147" s="18" t="s">
        <v>611</v>
      </c>
      <c r="H147" s="20" t="s">
        <v>17</v>
      </c>
      <c r="I147" s="29" t="str">
        <f t="shared" si="5"/>
        <v>107</v>
      </c>
      <c r="J147" s="21" t="s">
        <v>612</v>
      </c>
      <c r="K147" s="7">
        <f t="shared" si="6"/>
        <v>263</v>
      </c>
      <c r="L147" s="28" t="s">
        <v>587</v>
      </c>
      <c r="M147" s="26"/>
    </row>
    <row r="148" ht="20.25" spans="1:13">
      <c r="A148" s="15"/>
      <c r="B148" s="15"/>
      <c r="C148" s="16"/>
      <c r="D148" s="17" t="s">
        <v>613</v>
      </c>
      <c r="E148" s="18" t="s">
        <v>614</v>
      </c>
      <c r="F148" s="19">
        <v>4</v>
      </c>
      <c r="G148" s="18" t="s">
        <v>615</v>
      </c>
      <c r="H148" s="20" t="s">
        <v>17</v>
      </c>
      <c r="I148" s="29" t="str">
        <f t="shared" si="5"/>
        <v>10B</v>
      </c>
      <c r="J148" s="21" t="s">
        <v>616</v>
      </c>
      <c r="K148" s="7">
        <f t="shared" si="6"/>
        <v>267</v>
      </c>
      <c r="L148" s="28" t="s">
        <v>587</v>
      </c>
      <c r="M148" s="26"/>
    </row>
    <row r="149" ht="20.25" spans="1:13">
      <c r="A149" s="15"/>
      <c r="B149" s="15"/>
      <c r="C149" s="16"/>
      <c r="D149" s="17" t="s">
        <v>617</v>
      </c>
      <c r="E149" s="18" t="s">
        <v>618</v>
      </c>
      <c r="F149" s="19">
        <v>1</v>
      </c>
      <c r="G149" s="18" t="s">
        <v>619</v>
      </c>
      <c r="H149" s="20" t="s">
        <v>17</v>
      </c>
      <c r="I149" s="29" t="str">
        <f t="shared" si="5"/>
        <v>10F</v>
      </c>
      <c r="J149" s="21" t="s">
        <v>620</v>
      </c>
      <c r="K149" s="7">
        <f t="shared" si="6"/>
        <v>271</v>
      </c>
      <c r="L149" s="50" t="s">
        <v>596</v>
      </c>
      <c r="M149" s="26"/>
    </row>
    <row r="150" ht="20.25" spans="1:13">
      <c r="A150" s="15"/>
      <c r="B150" s="15"/>
      <c r="C150" s="16"/>
      <c r="D150" s="17" t="s">
        <v>621</v>
      </c>
      <c r="E150" s="18" t="s">
        <v>622</v>
      </c>
      <c r="F150" s="19">
        <v>1</v>
      </c>
      <c r="G150" s="18" t="s">
        <v>623</v>
      </c>
      <c r="H150" s="20" t="s">
        <v>17</v>
      </c>
      <c r="I150" s="29" t="str">
        <f t="shared" si="5"/>
        <v>110</v>
      </c>
      <c r="J150" s="21" t="s">
        <v>624</v>
      </c>
      <c r="K150" s="7">
        <f t="shared" si="6"/>
        <v>272</v>
      </c>
      <c r="L150" s="50" t="s">
        <v>625</v>
      </c>
      <c r="M150" s="26"/>
    </row>
    <row r="151" ht="20.25" spans="1:13">
      <c r="A151" s="15"/>
      <c r="B151" s="15"/>
      <c r="C151" s="16"/>
      <c r="D151" s="43" t="s">
        <v>626</v>
      </c>
      <c r="E151" s="18" t="s">
        <v>627</v>
      </c>
      <c r="F151" s="19">
        <v>4</v>
      </c>
      <c r="G151" s="18" t="s">
        <v>628</v>
      </c>
      <c r="H151" s="20" t="s">
        <v>17</v>
      </c>
      <c r="I151" s="29" t="str">
        <f t="shared" si="5"/>
        <v>111</v>
      </c>
      <c r="J151" s="21" t="s">
        <v>629</v>
      </c>
      <c r="K151" s="7">
        <f t="shared" si="6"/>
        <v>273</v>
      </c>
      <c r="L151" s="28" t="s">
        <v>587</v>
      </c>
      <c r="M151" s="26"/>
    </row>
    <row r="152" ht="20.25" spans="1:13">
      <c r="A152" s="15"/>
      <c r="B152" s="15"/>
      <c r="C152" s="16"/>
      <c r="D152" s="43" t="s">
        <v>630</v>
      </c>
      <c r="E152" s="18" t="s">
        <v>631</v>
      </c>
      <c r="F152" s="19">
        <v>4</v>
      </c>
      <c r="G152" s="18" t="s">
        <v>632</v>
      </c>
      <c r="H152" s="20" t="s">
        <v>17</v>
      </c>
      <c r="I152" s="29" t="str">
        <f t="shared" si="5"/>
        <v>115</v>
      </c>
      <c r="J152" s="21" t="s">
        <v>633</v>
      </c>
      <c r="K152" s="7">
        <f t="shared" si="6"/>
        <v>277</v>
      </c>
      <c r="L152" s="28" t="s">
        <v>587</v>
      </c>
      <c r="M152" s="26"/>
    </row>
    <row r="153" ht="20.25" spans="1:13">
      <c r="A153" s="15"/>
      <c r="B153" s="15"/>
      <c r="C153" s="16"/>
      <c r="D153" s="17" t="s">
        <v>634</v>
      </c>
      <c r="E153" s="18" t="s">
        <v>635</v>
      </c>
      <c r="F153" s="19">
        <v>1</v>
      </c>
      <c r="G153" s="18" t="s">
        <v>636</v>
      </c>
      <c r="H153" s="20" t="s">
        <v>17</v>
      </c>
      <c r="I153" s="29" t="str">
        <f t="shared" si="5"/>
        <v>119</v>
      </c>
      <c r="J153" s="21" t="s">
        <v>637</v>
      </c>
      <c r="K153" s="7">
        <f t="shared" si="6"/>
        <v>281</v>
      </c>
      <c r="L153" s="39" t="s">
        <v>638</v>
      </c>
      <c r="M153" s="26"/>
    </row>
    <row r="154" ht="20.25" spans="1:13">
      <c r="A154" s="15"/>
      <c r="B154" s="15"/>
      <c r="C154" s="16"/>
      <c r="D154" s="43" t="s">
        <v>639</v>
      </c>
      <c r="E154" s="18" t="s">
        <v>640</v>
      </c>
      <c r="F154" s="19">
        <v>8</v>
      </c>
      <c r="G154" s="18" t="s">
        <v>641</v>
      </c>
      <c r="H154" s="20" t="s">
        <v>17</v>
      </c>
      <c r="I154" s="29" t="str">
        <f t="shared" si="5"/>
        <v>11A</v>
      </c>
      <c r="J154" s="21" t="s">
        <v>642</v>
      </c>
      <c r="K154" s="7">
        <f t="shared" si="6"/>
        <v>282</v>
      </c>
      <c r="L154" s="28" t="s">
        <v>643</v>
      </c>
      <c r="M154" s="26"/>
    </row>
    <row r="155" ht="20.25" spans="1:13">
      <c r="A155" s="15"/>
      <c r="B155" s="15"/>
      <c r="C155" s="16"/>
      <c r="D155" s="43" t="s">
        <v>644</v>
      </c>
      <c r="E155" s="18" t="s">
        <v>645</v>
      </c>
      <c r="F155" s="19">
        <v>8</v>
      </c>
      <c r="G155" s="18" t="s">
        <v>646</v>
      </c>
      <c r="H155" s="20" t="s">
        <v>17</v>
      </c>
      <c r="I155" s="29" t="str">
        <f t="shared" si="5"/>
        <v>122</v>
      </c>
      <c r="J155" s="21" t="s">
        <v>647</v>
      </c>
      <c r="K155" s="7">
        <f t="shared" si="6"/>
        <v>290</v>
      </c>
      <c r="L155" s="28" t="s">
        <v>648</v>
      </c>
      <c r="M155" s="26"/>
    </row>
    <row r="156" ht="20.25" spans="1:13">
      <c r="A156" s="15"/>
      <c r="B156" s="15"/>
      <c r="C156" s="16"/>
      <c r="D156" s="43" t="s">
        <v>649</v>
      </c>
      <c r="E156" s="18" t="s">
        <v>650</v>
      </c>
      <c r="F156" s="19">
        <v>1</v>
      </c>
      <c r="G156" s="18" t="s">
        <v>651</v>
      </c>
      <c r="H156" s="20" t="s">
        <v>17</v>
      </c>
      <c r="I156" s="29" t="str">
        <f t="shared" si="5"/>
        <v>12A</v>
      </c>
      <c r="J156" s="21" t="s">
        <v>652</v>
      </c>
      <c r="K156" s="7">
        <f t="shared" si="6"/>
        <v>298</v>
      </c>
      <c r="L156" s="28" t="s">
        <v>653</v>
      </c>
      <c r="M156" s="26"/>
    </row>
    <row r="157" ht="20.25" spans="1:13">
      <c r="A157" s="15"/>
      <c r="B157" s="15"/>
      <c r="C157" s="16"/>
      <c r="D157" s="43" t="s">
        <v>654</v>
      </c>
      <c r="E157" s="18" t="s">
        <v>655</v>
      </c>
      <c r="F157" s="19">
        <v>1</v>
      </c>
      <c r="G157" s="18" t="s">
        <v>656</v>
      </c>
      <c r="H157" s="20" t="s">
        <v>17</v>
      </c>
      <c r="I157" s="29" t="str">
        <f t="shared" si="5"/>
        <v>12B</v>
      </c>
      <c r="J157" s="21" t="s">
        <v>657</v>
      </c>
      <c r="K157" s="7">
        <f t="shared" si="6"/>
        <v>299</v>
      </c>
      <c r="L157" s="28" t="s">
        <v>658</v>
      </c>
      <c r="M157" s="26"/>
    </row>
    <row r="158" ht="20.25" spans="1:13">
      <c r="A158" s="15"/>
      <c r="B158" s="15"/>
      <c r="C158" s="16"/>
      <c r="D158" s="43" t="s">
        <v>659</v>
      </c>
      <c r="E158" s="18" t="s">
        <v>660</v>
      </c>
      <c r="F158" s="19">
        <v>1</v>
      </c>
      <c r="G158" s="18" t="s">
        <v>661</v>
      </c>
      <c r="H158" s="20" t="s">
        <v>17</v>
      </c>
      <c r="I158" s="29" t="str">
        <f t="shared" si="5"/>
        <v>12C</v>
      </c>
      <c r="J158" s="21" t="s">
        <v>662</v>
      </c>
      <c r="K158" s="7">
        <f t="shared" si="6"/>
        <v>300</v>
      </c>
      <c r="L158" s="28" t="s">
        <v>663</v>
      </c>
      <c r="M158" s="26"/>
    </row>
    <row r="159" ht="20.25" spans="1:13">
      <c r="A159" s="15"/>
      <c r="B159" s="15"/>
      <c r="C159" s="16"/>
      <c r="D159" s="42" t="s">
        <v>664</v>
      </c>
      <c r="E159" s="29" t="s">
        <v>665</v>
      </c>
      <c r="F159" s="19">
        <v>1</v>
      </c>
      <c r="G159" s="29" t="s">
        <v>666</v>
      </c>
      <c r="H159" s="20" t="s">
        <v>17</v>
      </c>
      <c r="I159" s="29" t="str">
        <f t="shared" si="5"/>
        <v>12D</v>
      </c>
      <c r="J159" s="51" t="s">
        <v>667</v>
      </c>
      <c r="K159" s="7">
        <v>301</v>
      </c>
      <c r="L159" s="28" t="s">
        <v>668</v>
      </c>
      <c r="M159" s="26"/>
    </row>
    <row r="160" ht="20.25" spans="1:13">
      <c r="A160" s="15"/>
      <c r="B160" s="15"/>
      <c r="C160" s="16"/>
      <c r="D160" s="42" t="s">
        <v>669</v>
      </c>
      <c r="E160" s="29" t="s">
        <v>670</v>
      </c>
      <c r="F160" s="19">
        <v>1</v>
      </c>
      <c r="G160" s="29" t="s">
        <v>671</v>
      </c>
      <c r="H160" s="20" t="s">
        <v>17</v>
      </c>
      <c r="I160" s="29" t="str">
        <f t="shared" si="5"/>
        <v>12E</v>
      </c>
      <c r="J160" s="51" t="s">
        <v>672</v>
      </c>
      <c r="K160" s="7">
        <v>302</v>
      </c>
      <c r="L160" s="28" t="s">
        <v>673</v>
      </c>
      <c r="M160" s="26"/>
    </row>
    <row r="161" ht="20.25" spans="1:13">
      <c r="A161" s="15"/>
      <c r="B161" s="15"/>
      <c r="C161" s="16"/>
      <c r="D161" s="42" t="s">
        <v>674</v>
      </c>
      <c r="E161" s="29" t="s">
        <v>675</v>
      </c>
      <c r="F161" s="19">
        <v>1</v>
      </c>
      <c r="G161" s="29" t="s">
        <v>676</v>
      </c>
      <c r="H161" s="20" t="s">
        <v>17</v>
      </c>
      <c r="I161" s="29" t="str">
        <f t="shared" si="5"/>
        <v>12F</v>
      </c>
      <c r="J161" s="51" t="s">
        <v>677</v>
      </c>
      <c r="K161" s="7">
        <f>K160+F160</f>
        <v>303</v>
      </c>
      <c r="L161" s="28" t="s">
        <v>678</v>
      </c>
      <c r="M161" s="26"/>
    </row>
    <row r="162" ht="20.25" spans="1:13">
      <c r="A162" s="15"/>
      <c r="B162" s="15"/>
      <c r="C162" s="16"/>
      <c r="D162" s="42" t="s">
        <v>679</v>
      </c>
      <c r="E162" s="29" t="s">
        <v>680</v>
      </c>
      <c r="F162" s="19">
        <v>1</v>
      </c>
      <c r="G162" s="29" t="s">
        <v>681</v>
      </c>
      <c r="H162" s="24" t="s">
        <v>17</v>
      </c>
      <c r="I162" s="32" t="str">
        <f t="shared" si="5"/>
        <v>130</v>
      </c>
      <c r="J162" s="51" t="s">
        <v>682</v>
      </c>
      <c r="K162" s="7">
        <f>K161+F161</f>
        <v>304</v>
      </c>
      <c r="L162" s="28" t="s">
        <v>683</v>
      </c>
      <c r="M162" s="26"/>
    </row>
    <row r="163" ht="20.25" spans="1:13">
      <c r="A163" s="15"/>
      <c r="B163" s="15"/>
      <c r="C163" s="16"/>
      <c r="D163" s="42" t="s">
        <v>684</v>
      </c>
      <c r="E163" s="29" t="s">
        <v>685</v>
      </c>
      <c r="F163" s="19">
        <v>1</v>
      </c>
      <c r="G163" s="29" t="s">
        <v>686</v>
      </c>
      <c r="H163" s="24" t="s">
        <v>17</v>
      </c>
      <c r="I163" s="32" t="str">
        <f t="shared" si="5"/>
        <v>131</v>
      </c>
      <c r="J163" s="51" t="s">
        <v>687</v>
      </c>
      <c r="K163" s="7">
        <f>K162+F162</f>
        <v>305</v>
      </c>
      <c r="L163" s="28" t="s">
        <v>688</v>
      </c>
      <c r="M163" s="26"/>
    </row>
    <row r="164" ht="20.25" spans="1:13">
      <c r="A164" s="15"/>
      <c r="B164" s="15"/>
      <c r="C164" s="16"/>
      <c r="D164" s="44" t="s">
        <v>217</v>
      </c>
      <c r="E164" s="22" t="s">
        <v>217</v>
      </c>
      <c r="F164" s="23">
        <v>23</v>
      </c>
      <c r="G164" s="22" t="s">
        <v>217</v>
      </c>
      <c r="H164" s="24" t="s">
        <v>17</v>
      </c>
      <c r="I164" s="32" t="str">
        <f t="shared" si="5"/>
        <v>132</v>
      </c>
      <c r="J164" s="33"/>
      <c r="K164" s="47">
        <f>K163+F163</f>
        <v>306</v>
      </c>
      <c r="L164" s="28"/>
      <c r="M164" s="26"/>
    </row>
    <row r="165" s="2" customFormat="1" ht="20.1" customHeight="1" spans="1:13">
      <c r="A165" s="15"/>
      <c r="B165" s="45" t="s">
        <v>689</v>
      </c>
      <c r="C165" s="16"/>
      <c r="D165" s="43" t="s">
        <v>690</v>
      </c>
      <c r="E165" s="18" t="s">
        <v>691</v>
      </c>
      <c r="F165" s="19">
        <v>1</v>
      </c>
      <c r="G165" s="18" t="s">
        <v>692</v>
      </c>
      <c r="H165" s="20" t="s">
        <v>17</v>
      </c>
      <c r="I165" s="29" t="str">
        <f t="shared" si="5"/>
        <v>149</v>
      </c>
      <c r="J165" s="21" t="s">
        <v>693</v>
      </c>
      <c r="K165" s="7">
        <f>K164+F164</f>
        <v>329</v>
      </c>
      <c r="L165" s="28" t="s">
        <v>694</v>
      </c>
      <c r="M165" s="26" t="s">
        <v>695</v>
      </c>
    </row>
    <row r="166" s="2" customFormat="1" ht="20.25" spans="1:13">
      <c r="A166" s="15"/>
      <c r="B166" s="45"/>
      <c r="C166" s="16"/>
      <c r="D166" s="43" t="s">
        <v>696</v>
      </c>
      <c r="E166" s="18" t="s">
        <v>697</v>
      </c>
      <c r="F166" s="19">
        <v>2</v>
      </c>
      <c r="G166" s="18" t="s">
        <v>698</v>
      </c>
      <c r="H166" s="20" t="s">
        <v>17</v>
      </c>
      <c r="I166" s="29" t="str">
        <f t="shared" si="5"/>
        <v>14A</v>
      </c>
      <c r="J166" s="21" t="s">
        <v>699</v>
      </c>
      <c r="K166" s="7">
        <f t="shared" ref="K166:K213" si="7">F165+K165</f>
        <v>330</v>
      </c>
      <c r="L166" s="31" t="s">
        <v>700</v>
      </c>
      <c r="M166" s="26"/>
    </row>
    <row r="167" ht="20.25" spans="1:13">
      <c r="A167" s="15"/>
      <c r="B167" s="45"/>
      <c r="C167" s="16"/>
      <c r="D167" s="43" t="s">
        <v>701</v>
      </c>
      <c r="E167" s="18" t="s">
        <v>702</v>
      </c>
      <c r="F167" s="19">
        <v>1</v>
      </c>
      <c r="G167" s="18" t="s">
        <v>703</v>
      </c>
      <c r="H167" s="20" t="s">
        <v>17</v>
      </c>
      <c r="I167" s="29" t="str">
        <f t="shared" si="5"/>
        <v>14C</v>
      </c>
      <c r="J167" s="17" t="s">
        <v>704</v>
      </c>
      <c r="K167" s="7">
        <f t="shared" si="7"/>
        <v>332</v>
      </c>
      <c r="L167" s="28" t="s">
        <v>705</v>
      </c>
      <c r="M167" s="26" t="s">
        <v>706</v>
      </c>
    </row>
    <row r="168" ht="20.25" spans="1:13">
      <c r="A168" s="15"/>
      <c r="B168" s="45"/>
      <c r="C168" s="16"/>
      <c r="D168" s="43" t="s">
        <v>707</v>
      </c>
      <c r="E168" s="18" t="s">
        <v>708</v>
      </c>
      <c r="F168" s="19">
        <v>1</v>
      </c>
      <c r="G168" s="18" t="s">
        <v>709</v>
      </c>
      <c r="H168" s="20" t="s">
        <v>17</v>
      </c>
      <c r="I168" s="29" t="str">
        <f t="shared" si="5"/>
        <v>14D</v>
      </c>
      <c r="J168" s="17" t="s">
        <v>710</v>
      </c>
      <c r="K168" s="7">
        <f t="shared" si="7"/>
        <v>333</v>
      </c>
      <c r="L168" s="28" t="s">
        <v>711</v>
      </c>
      <c r="M168" s="26"/>
    </row>
    <row r="169" ht="20.25" spans="1:13">
      <c r="A169" s="15"/>
      <c r="B169" s="45"/>
      <c r="C169" s="16"/>
      <c r="D169" s="43" t="s">
        <v>712</v>
      </c>
      <c r="E169" s="18" t="s">
        <v>713</v>
      </c>
      <c r="F169" s="19">
        <v>4</v>
      </c>
      <c r="G169" s="18" t="s">
        <v>714</v>
      </c>
      <c r="H169" s="20" t="s">
        <v>17</v>
      </c>
      <c r="I169" s="29" t="str">
        <f t="shared" si="5"/>
        <v>14E</v>
      </c>
      <c r="J169" s="43" t="s">
        <v>712</v>
      </c>
      <c r="K169" s="7">
        <f t="shared" si="7"/>
        <v>334</v>
      </c>
      <c r="L169" s="28" t="s">
        <v>715</v>
      </c>
      <c r="M169" s="2"/>
    </row>
    <row r="170" ht="20.25" spans="1:13">
      <c r="A170" s="15"/>
      <c r="B170" s="45"/>
      <c r="C170" s="16"/>
      <c r="D170" s="43" t="s">
        <v>716</v>
      </c>
      <c r="E170" s="18" t="s">
        <v>717</v>
      </c>
      <c r="F170" s="19">
        <v>4</v>
      </c>
      <c r="G170" s="18" t="s">
        <v>718</v>
      </c>
      <c r="H170" s="20" t="s">
        <v>17</v>
      </c>
      <c r="I170" s="29" t="str">
        <f t="shared" si="5"/>
        <v>152</v>
      </c>
      <c r="J170" s="43" t="s">
        <v>716</v>
      </c>
      <c r="K170" s="7">
        <f t="shared" si="7"/>
        <v>338</v>
      </c>
      <c r="L170" s="28" t="s">
        <v>715</v>
      </c>
      <c r="M170" s="2"/>
    </row>
    <row r="171" ht="20.25" spans="1:13">
      <c r="A171" s="15"/>
      <c r="B171" s="45"/>
      <c r="C171" s="16"/>
      <c r="D171" s="43" t="s">
        <v>719</v>
      </c>
      <c r="E171" s="18" t="s">
        <v>720</v>
      </c>
      <c r="F171" s="19">
        <v>1</v>
      </c>
      <c r="G171" s="18" t="s">
        <v>721</v>
      </c>
      <c r="H171" s="20" t="s">
        <v>17</v>
      </c>
      <c r="I171" s="29" t="str">
        <f t="shared" si="5"/>
        <v>156</v>
      </c>
      <c r="J171" s="17" t="s">
        <v>722</v>
      </c>
      <c r="K171" s="7">
        <f t="shared" si="7"/>
        <v>342</v>
      </c>
      <c r="L171" s="28"/>
      <c r="M171" s="2"/>
    </row>
    <row r="172" s="1" customFormat="1" ht="20.25" spans="1:13">
      <c r="A172" s="15"/>
      <c r="B172" s="45"/>
      <c r="C172" s="16"/>
      <c r="D172" s="43" t="s">
        <v>723</v>
      </c>
      <c r="E172" s="18" t="s">
        <v>724</v>
      </c>
      <c r="F172" s="19">
        <v>1</v>
      </c>
      <c r="G172" s="18" t="s">
        <v>725</v>
      </c>
      <c r="H172" s="20" t="s">
        <v>17</v>
      </c>
      <c r="I172" s="29" t="str">
        <f t="shared" si="5"/>
        <v>157</v>
      </c>
      <c r="J172" s="17" t="s">
        <v>726</v>
      </c>
      <c r="K172" s="7">
        <f t="shared" si="7"/>
        <v>343</v>
      </c>
      <c r="L172" s="46"/>
      <c r="M172" s="52"/>
    </row>
    <row r="173" s="1" customFormat="1" ht="20.25" spans="1:13">
      <c r="A173" s="15"/>
      <c r="B173" s="45"/>
      <c r="C173" s="16"/>
      <c r="D173" s="43" t="s">
        <v>727</v>
      </c>
      <c r="E173" s="18" t="s">
        <v>728</v>
      </c>
      <c r="F173" s="19">
        <v>1</v>
      </c>
      <c r="G173" s="18" t="s">
        <v>729</v>
      </c>
      <c r="H173" s="20" t="s">
        <v>17</v>
      </c>
      <c r="I173" s="29" t="str">
        <f t="shared" si="5"/>
        <v>158</v>
      </c>
      <c r="J173" s="17" t="s">
        <v>730</v>
      </c>
      <c r="K173" s="7">
        <f t="shared" si="7"/>
        <v>344</v>
      </c>
      <c r="L173" s="46" t="s">
        <v>731</v>
      </c>
      <c r="M173" s="52"/>
    </row>
    <row r="174" ht="20.25" spans="1:13">
      <c r="A174" s="15"/>
      <c r="B174" s="45"/>
      <c r="C174" s="16"/>
      <c r="D174" s="43" t="s">
        <v>732</v>
      </c>
      <c r="E174" s="18" t="s">
        <v>733</v>
      </c>
      <c r="F174" s="19">
        <v>4</v>
      </c>
      <c r="G174" s="18" t="s">
        <v>734</v>
      </c>
      <c r="H174" s="20" t="s">
        <v>17</v>
      </c>
      <c r="I174" s="29" t="str">
        <f t="shared" si="5"/>
        <v>159</v>
      </c>
      <c r="J174" s="17" t="s">
        <v>735</v>
      </c>
      <c r="K174" s="7">
        <f t="shared" si="7"/>
        <v>345</v>
      </c>
      <c r="L174" s="28" t="s">
        <v>19</v>
      </c>
      <c r="M174" s="2"/>
    </row>
    <row r="175" ht="20.25" spans="1:13">
      <c r="A175" s="15"/>
      <c r="B175" s="45"/>
      <c r="C175" s="16"/>
      <c r="D175" s="43" t="s">
        <v>736</v>
      </c>
      <c r="E175" s="18" t="s">
        <v>737</v>
      </c>
      <c r="F175" s="19">
        <v>4</v>
      </c>
      <c r="G175" s="18" t="s">
        <v>738</v>
      </c>
      <c r="H175" s="20" t="s">
        <v>17</v>
      </c>
      <c r="I175" s="29" t="str">
        <f t="shared" si="5"/>
        <v>15D</v>
      </c>
      <c r="J175" s="17" t="s">
        <v>739</v>
      </c>
      <c r="K175" s="7">
        <f t="shared" si="7"/>
        <v>349</v>
      </c>
      <c r="L175" s="28" t="s">
        <v>19</v>
      </c>
      <c r="M175" s="2"/>
    </row>
    <row r="176" ht="20.25" spans="1:13">
      <c r="A176" s="15"/>
      <c r="B176" s="45"/>
      <c r="C176" s="16"/>
      <c r="D176" s="43" t="s">
        <v>740</v>
      </c>
      <c r="E176" s="18" t="s">
        <v>741</v>
      </c>
      <c r="F176" s="19">
        <v>4</v>
      </c>
      <c r="G176" s="18" t="s">
        <v>742</v>
      </c>
      <c r="H176" s="20" t="s">
        <v>17</v>
      </c>
      <c r="I176" s="29" t="str">
        <f t="shared" si="5"/>
        <v>161</v>
      </c>
      <c r="J176" s="17" t="s">
        <v>743</v>
      </c>
      <c r="K176" s="7">
        <f t="shared" si="7"/>
        <v>353</v>
      </c>
      <c r="L176" s="28" t="s">
        <v>19</v>
      </c>
      <c r="M176" s="2"/>
    </row>
    <row r="177" ht="20.25" spans="1:13">
      <c r="A177" s="15"/>
      <c r="B177" s="45"/>
      <c r="C177" s="16"/>
      <c r="D177" s="43" t="s">
        <v>744</v>
      </c>
      <c r="E177" s="18" t="s">
        <v>745</v>
      </c>
      <c r="F177" s="19">
        <v>1</v>
      </c>
      <c r="G177" s="18" t="s">
        <v>746</v>
      </c>
      <c r="H177" s="20" t="s">
        <v>17</v>
      </c>
      <c r="I177" s="29" t="str">
        <f t="shared" si="5"/>
        <v>165</v>
      </c>
      <c r="J177" s="17" t="s">
        <v>747</v>
      </c>
      <c r="K177" s="7">
        <f t="shared" si="7"/>
        <v>357</v>
      </c>
      <c r="L177" s="28" t="s">
        <v>19</v>
      </c>
      <c r="M177" s="2"/>
    </row>
    <row r="178" ht="20.25" spans="1:13">
      <c r="A178" s="15"/>
      <c r="B178" s="45"/>
      <c r="C178" s="16"/>
      <c r="D178" s="43" t="s">
        <v>748</v>
      </c>
      <c r="E178" s="18" t="s">
        <v>749</v>
      </c>
      <c r="F178" s="19">
        <v>4</v>
      </c>
      <c r="G178" s="18" t="s">
        <v>750</v>
      </c>
      <c r="H178" s="20" t="s">
        <v>17</v>
      </c>
      <c r="I178" s="29" t="str">
        <f t="shared" si="5"/>
        <v>166</v>
      </c>
      <c r="J178" s="17" t="s">
        <v>751</v>
      </c>
      <c r="K178" s="7">
        <f t="shared" si="7"/>
        <v>358</v>
      </c>
      <c r="L178" s="28" t="s">
        <v>19</v>
      </c>
      <c r="M178" s="2"/>
    </row>
    <row r="179" ht="20.25" spans="1:13">
      <c r="A179" s="15"/>
      <c r="B179" s="45"/>
      <c r="C179" s="16"/>
      <c r="D179" s="43" t="s">
        <v>752</v>
      </c>
      <c r="E179" s="18" t="s">
        <v>753</v>
      </c>
      <c r="F179" s="19">
        <v>4</v>
      </c>
      <c r="G179" s="18" t="s">
        <v>754</v>
      </c>
      <c r="H179" s="20" t="s">
        <v>17</v>
      </c>
      <c r="I179" s="29" t="str">
        <f t="shared" si="5"/>
        <v>16A</v>
      </c>
      <c r="J179" s="17" t="s">
        <v>755</v>
      </c>
      <c r="K179" s="7">
        <f t="shared" si="7"/>
        <v>362</v>
      </c>
      <c r="L179" s="28" t="s">
        <v>19</v>
      </c>
      <c r="M179" s="2"/>
    </row>
    <row r="180" ht="20.25" spans="1:13">
      <c r="A180" s="15"/>
      <c r="B180" s="45"/>
      <c r="C180" s="16"/>
      <c r="D180" s="43" t="s">
        <v>756</v>
      </c>
      <c r="E180" s="18" t="s">
        <v>757</v>
      </c>
      <c r="F180" s="19">
        <v>4</v>
      </c>
      <c r="G180" s="18" t="s">
        <v>758</v>
      </c>
      <c r="H180" s="20" t="s">
        <v>17</v>
      </c>
      <c r="I180" s="29" t="str">
        <f t="shared" si="5"/>
        <v>16E</v>
      </c>
      <c r="J180" s="17" t="s">
        <v>759</v>
      </c>
      <c r="K180" s="7">
        <f t="shared" si="7"/>
        <v>366</v>
      </c>
      <c r="L180" s="28" t="s">
        <v>19</v>
      </c>
      <c r="M180" s="2"/>
    </row>
    <row r="181" ht="20.25" spans="1:13">
      <c r="A181" s="15"/>
      <c r="B181" s="45"/>
      <c r="C181" s="16"/>
      <c r="D181" s="43" t="s">
        <v>760</v>
      </c>
      <c r="E181" s="18" t="s">
        <v>761</v>
      </c>
      <c r="F181" s="19">
        <v>4</v>
      </c>
      <c r="G181" s="18" t="s">
        <v>762</v>
      </c>
      <c r="H181" s="20" t="s">
        <v>17</v>
      </c>
      <c r="I181" s="29" t="str">
        <f t="shared" si="5"/>
        <v>172</v>
      </c>
      <c r="J181" s="17" t="s">
        <v>763</v>
      </c>
      <c r="K181" s="7">
        <f t="shared" si="7"/>
        <v>370</v>
      </c>
      <c r="L181" s="28" t="s">
        <v>19</v>
      </c>
      <c r="M181" s="2"/>
    </row>
    <row r="182" ht="20.25" spans="1:13">
      <c r="A182" s="15"/>
      <c r="B182" s="45"/>
      <c r="C182" s="16"/>
      <c r="D182" s="43" t="s">
        <v>764</v>
      </c>
      <c r="E182" s="18" t="s">
        <v>765</v>
      </c>
      <c r="F182" s="19">
        <v>4</v>
      </c>
      <c r="G182" s="18" t="s">
        <v>766</v>
      </c>
      <c r="H182" s="20" t="s">
        <v>17</v>
      </c>
      <c r="I182" s="29" t="str">
        <f t="shared" si="5"/>
        <v>176</v>
      </c>
      <c r="J182" s="17" t="s">
        <v>767</v>
      </c>
      <c r="K182" s="7">
        <f t="shared" si="7"/>
        <v>374</v>
      </c>
      <c r="L182" s="28" t="s">
        <v>19</v>
      </c>
      <c r="M182" s="2"/>
    </row>
    <row r="183" ht="20.25" spans="1:13">
      <c r="A183" s="15"/>
      <c r="B183" s="45"/>
      <c r="C183" s="16"/>
      <c r="D183" s="43" t="s">
        <v>768</v>
      </c>
      <c r="E183" s="18" t="s">
        <v>769</v>
      </c>
      <c r="F183" s="19">
        <v>4</v>
      </c>
      <c r="G183" s="18" t="s">
        <v>770</v>
      </c>
      <c r="H183" s="20" t="s">
        <v>17</v>
      </c>
      <c r="I183" s="29" t="str">
        <f t="shared" si="5"/>
        <v>17A</v>
      </c>
      <c r="J183" s="17" t="s">
        <v>771</v>
      </c>
      <c r="K183" s="7">
        <f t="shared" si="7"/>
        <v>378</v>
      </c>
      <c r="L183" s="28" t="s">
        <v>19</v>
      </c>
      <c r="M183" s="2"/>
    </row>
    <row r="184" ht="20.25" spans="1:13">
      <c r="A184" s="15"/>
      <c r="B184" s="45"/>
      <c r="C184" s="16"/>
      <c r="D184" s="43" t="s">
        <v>772</v>
      </c>
      <c r="E184" s="18" t="s">
        <v>773</v>
      </c>
      <c r="F184" s="19">
        <v>1</v>
      </c>
      <c r="G184" s="18" t="s">
        <v>774</v>
      </c>
      <c r="H184" s="20" t="s">
        <v>17</v>
      </c>
      <c r="I184" s="29" t="str">
        <f t="shared" si="5"/>
        <v>17E</v>
      </c>
      <c r="J184" s="17" t="s">
        <v>775</v>
      </c>
      <c r="K184" s="7">
        <f t="shared" si="7"/>
        <v>382</v>
      </c>
      <c r="L184" s="28" t="s">
        <v>776</v>
      </c>
      <c r="M184" s="2"/>
    </row>
    <row r="185" ht="20.25" spans="1:13">
      <c r="A185" s="15"/>
      <c r="B185" s="45"/>
      <c r="C185" s="16"/>
      <c r="D185" s="43" t="s">
        <v>777</v>
      </c>
      <c r="E185" s="18" t="s">
        <v>778</v>
      </c>
      <c r="F185" s="19">
        <v>1</v>
      </c>
      <c r="G185" s="18" t="s">
        <v>779</v>
      </c>
      <c r="H185" s="20" t="s">
        <v>17</v>
      </c>
      <c r="I185" s="29" t="str">
        <f t="shared" ref="I185:I225" si="8">DEC2HEX(K185)</f>
        <v>17F</v>
      </c>
      <c r="J185" s="17" t="s">
        <v>780</v>
      </c>
      <c r="K185" s="7">
        <f t="shared" si="7"/>
        <v>383</v>
      </c>
      <c r="L185" s="28" t="s">
        <v>781</v>
      </c>
      <c r="M185" s="2"/>
    </row>
    <row r="186" ht="20.25" spans="1:13">
      <c r="A186" s="15"/>
      <c r="B186" s="45"/>
      <c r="C186" s="16"/>
      <c r="D186" s="43" t="s">
        <v>782</v>
      </c>
      <c r="E186" s="18" t="s">
        <v>783</v>
      </c>
      <c r="F186" s="19">
        <v>2</v>
      </c>
      <c r="G186" s="18" t="s">
        <v>784</v>
      </c>
      <c r="H186" s="20" t="s">
        <v>17</v>
      </c>
      <c r="I186" s="29" t="str">
        <f t="shared" si="8"/>
        <v>180</v>
      </c>
      <c r="J186" s="17" t="s">
        <v>785</v>
      </c>
      <c r="K186" s="7">
        <f t="shared" si="7"/>
        <v>384</v>
      </c>
      <c r="L186" s="28" t="s">
        <v>786</v>
      </c>
      <c r="M186" s="2"/>
    </row>
    <row r="187" ht="20.25" spans="1:13">
      <c r="A187" s="15"/>
      <c r="B187" s="45"/>
      <c r="C187" s="16"/>
      <c r="D187" s="43" t="s">
        <v>787</v>
      </c>
      <c r="E187" s="18" t="s">
        <v>783</v>
      </c>
      <c r="F187" s="19">
        <v>2</v>
      </c>
      <c r="G187" s="18" t="s">
        <v>788</v>
      </c>
      <c r="H187" s="20" t="s">
        <v>17</v>
      </c>
      <c r="I187" s="29" t="str">
        <f t="shared" si="8"/>
        <v>182</v>
      </c>
      <c r="J187" s="17" t="s">
        <v>789</v>
      </c>
      <c r="K187" s="7">
        <f t="shared" si="7"/>
        <v>386</v>
      </c>
      <c r="L187" s="28" t="s">
        <v>790</v>
      </c>
      <c r="M187" s="2"/>
    </row>
    <row r="188" ht="20.25" spans="1:13">
      <c r="A188" s="15"/>
      <c r="B188" s="45"/>
      <c r="C188" s="16"/>
      <c r="D188" s="43" t="s">
        <v>791</v>
      </c>
      <c r="E188" s="18" t="s">
        <v>783</v>
      </c>
      <c r="F188" s="19">
        <v>2</v>
      </c>
      <c r="G188" s="18" t="s">
        <v>792</v>
      </c>
      <c r="H188" s="20" t="s">
        <v>17</v>
      </c>
      <c r="I188" s="29" t="str">
        <f t="shared" si="8"/>
        <v>184</v>
      </c>
      <c r="J188" s="17" t="s">
        <v>793</v>
      </c>
      <c r="K188" s="7">
        <f t="shared" si="7"/>
        <v>388</v>
      </c>
      <c r="L188" s="28" t="s">
        <v>794</v>
      </c>
      <c r="M188" s="2"/>
    </row>
    <row r="189" ht="20.25" spans="1:13">
      <c r="A189" s="15"/>
      <c r="B189" s="45"/>
      <c r="C189" s="16"/>
      <c r="D189" s="43" t="s">
        <v>795</v>
      </c>
      <c r="E189" s="18" t="s">
        <v>783</v>
      </c>
      <c r="F189" s="19">
        <v>2</v>
      </c>
      <c r="G189" s="18" t="s">
        <v>796</v>
      </c>
      <c r="H189" s="20" t="s">
        <v>17</v>
      </c>
      <c r="I189" s="29" t="str">
        <f t="shared" si="8"/>
        <v>186</v>
      </c>
      <c r="J189" s="17" t="s">
        <v>797</v>
      </c>
      <c r="K189" s="7">
        <f t="shared" si="7"/>
        <v>390</v>
      </c>
      <c r="L189" s="28" t="s">
        <v>798</v>
      </c>
      <c r="M189" s="2"/>
    </row>
    <row r="190" ht="20.25" spans="1:13">
      <c r="A190" s="15"/>
      <c r="B190" s="45"/>
      <c r="C190" s="16"/>
      <c r="D190" s="43" t="s">
        <v>799</v>
      </c>
      <c r="E190" s="18" t="s">
        <v>783</v>
      </c>
      <c r="F190" s="19">
        <v>2</v>
      </c>
      <c r="G190" s="18" t="s">
        <v>800</v>
      </c>
      <c r="H190" s="20" t="s">
        <v>17</v>
      </c>
      <c r="I190" s="29" t="str">
        <f t="shared" si="8"/>
        <v>188</v>
      </c>
      <c r="J190" s="17" t="s">
        <v>801</v>
      </c>
      <c r="K190" s="7">
        <f t="shared" si="7"/>
        <v>392</v>
      </c>
      <c r="L190" s="28" t="s">
        <v>802</v>
      </c>
      <c r="M190" s="2"/>
    </row>
    <row r="191" ht="20.25" spans="1:13">
      <c r="A191" s="15"/>
      <c r="B191" s="45"/>
      <c r="C191" s="16"/>
      <c r="D191" s="43" t="s">
        <v>803</v>
      </c>
      <c r="E191" s="18" t="s">
        <v>783</v>
      </c>
      <c r="F191" s="19">
        <v>2</v>
      </c>
      <c r="G191" s="18" t="s">
        <v>804</v>
      </c>
      <c r="H191" s="20" t="s">
        <v>17</v>
      </c>
      <c r="I191" s="29" t="str">
        <f t="shared" si="8"/>
        <v>18A</v>
      </c>
      <c r="J191" s="17" t="s">
        <v>805</v>
      </c>
      <c r="K191" s="7">
        <f t="shared" si="7"/>
        <v>394</v>
      </c>
      <c r="L191" s="28" t="s">
        <v>806</v>
      </c>
      <c r="M191" s="2"/>
    </row>
    <row r="192" ht="20.25" spans="1:13">
      <c r="A192" s="15"/>
      <c r="B192" s="45"/>
      <c r="C192" s="16"/>
      <c r="D192" s="43" t="s">
        <v>807</v>
      </c>
      <c r="E192" s="18" t="s">
        <v>783</v>
      </c>
      <c r="F192" s="19">
        <v>2</v>
      </c>
      <c r="G192" s="18" t="s">
        <v>808</v>
      </c>
      <c r="H192" s="20" t="s">
        <v>17</v>
      </c>
      <c r="I192" s="29" t="str">
        <f t="shared" si="8"/>
        <v>18C</v>
      </c>
      <c r="J192" s="17" t="s">
        <v>809</v>
      </c>
      <c r="K192" s="7">
        <f t="shared" si="7"/>
        <v>396</v>
      </c>
      <c r="L192" s="28" t="s">
        <v>810</v>
      </c>
      <c r="M192" s="2"/>
    </row>
    <row r="193" ht="20.25" spans="1:13">
      <c r="A193" s="15"/>
      <c r="B193" s="45"/>
      <c r="C193" s="16"/>
      <c r="D193" s="43" t="s">
        <v>811</v>
      </c>
      <c r="E193" s="18" t="s">
        <v>783</v>
      </c>
      <c r="F193" s="19">
        <v>2</v>
      </c>
      <c r="G193" s="18" t="s">
        <v>812</v>
      </c>
      <c r="H193" s="20" t="s">
        <v>17</v>
      </c>
      <c r="I193" s="29" t="str">
        <f t="shared" si="8"/>
        <v>18E</v>
      </c>
      <c r="J193" s="17" t="s">
        <v>813</v>
      </c>
      <c r="K193" s="7">
        <f t="shared" si="7"/>
        <v>398</v>
      </c>
      <c r="L193" s="28" t="s">
        <v>814</v>
      </c>
      <c r="M193" s="2"/>
    </row>
    <row r="194" ht="20.25" spans="1:13">
      <c r="A194" s="15"/>
      <c r="B194" s="45"/>
      <c r="C194" s="16"/>
      <c r="D194" s="43" t="s">
        <v>815</v>
      </c>
      <c r="E194" s="18" t="s">
        <v>783</v>
      </c>
      <c r="F194" s="19">
        <v>2</v>
      </c>
      <c r="G194" s="18" t="s">
        <v>816</v>
      </c>
      <c r="H194" s="20" t="s">
        <v>17</v>
      </c>
      <c r="I194" s="29" t="str">
        <f t="shared" si="8"/>
        <v>190</v>
      </c>
      <c r="J194" s="17" t="s">
        <v>817</v>
      </c>
      <c r="K194" s="7">
        <f t="shared" si="7"/>
        <v>400</v>
      </c>
      <c r="L194" s="28" t="s">
        <v>818</v>
      </c>
      <c r="M194" s="2"/>
    </row>
    <row r="195" ht="20.25" spans="1:13">
      <c r="A195" s="15"/>
      <c r="B195" s="45"/>
      <c r="C195" s="16"/>
      <c r="D195" s="43" t="s">
        <v>819</v>
      </c>
      <c r="E195" s="18" t="s">
        <v>783</v>
      </c>
      <c r="F195" s="19">
        <v>2</v>
      </c>
      <c r="G195" s="18" t="s">
        <v>820</v>
      </c>
      <c r="H195" s="20" t="s">
        <v>17</v>
      </c>
      <c r="I195" s="29" t="str">
        <f t="shared" si="8"/>
        <v>192</v>
      </c>
      <c r="J195" s="17" t="s">
        <v>821</v>
      </c>
      <c r="K195" s="7">
        <f t="shared" si="7"/>
        <v>402</v>
      </c>
      <c r="L195" s="28" t="s">
        <v>822</v>
      </c>
      <c r="M195" s="2"/>
    </row>
    <row r="196" ht="20.25" spans="1:13">
      <c r="A196" s="15"/>
      <c r="B196" s="45"/>
      <c r="C196" s="16"/>
      <c r="D196" s="43" t="s">
        <v>823</v>
      </c>
      <c r="E196" s="18" t="s">
        <v>783</v>
      </c>
      <c r="F196" s="19">
        <v>2</v>
      </c>
      <c r="G196" s="18" t="s">
        <v>824</v>
      </c>
      <c r="H196" s="20" t="s">
        <v>17</v>
      </c>
      <c r="I196" s="29" t="str">
        <f t="shared" si="8"/>
        <v>194</v>
      </c>
      <c r="J196" s="17" t="s">
        <v>825</v>
      </c>
      <c r="K196" s="7">
        <f t="shared" si="7"/>
        <v>404</v>
      </c>
      <c r="L196" s="28" t="s">
        <v>826</v>
      </c>
      <c r="M196" s="2"/>
    </row>
    <row r="197" ht="20.25" spans="1:13">
      <c r="A197" s="15"/>
      <c r="B197" s="45"/>
      <c r="C197" s="16"/>
      <c r="D197" s="43" t="s">
        <v>827</v>
      </c>
      <c r="E197" s="18" t="s">
        <v>783</v>
      </c>
      <c r="F197" s="19">
        <v>2</v>
      </c>
      <c r="G197" s="18" t="s">
        <v>828</v>
      </c>
      <c r="H197" s="20" t="s">
        <v>17</v>
      </c>
      <c r="I197" s="29" t="str">
        <f t="shared" si="8"/>
        <v>196</v>
      </c>
      <c r="J197" s="17" t="s">
        <v>829</v>
      </c>
      <c r="K197" s="7">
        <f t="shared" si="7"/>
        <v>406</v>
      </c>
      <c r="L197" s="28" t="s">
        <v>830</v>
      </c>
      <c r="M197" s="2"/>
    </row>
    <row r="198" ht="20.25" spans="1:13">
      <c r="A198" s="15"/>
      <c r="B198" s="45"/>
      <c r="C198" s="16"/>
      <c r="D198" s="43" t="s">
        <v>831</v>
      </c>
      <c r="E198" s="18" t="s">
        <v>832</v>
      </c>
      <c r="F198" s="19">
        <v>1</v>
      </c>
      <c r="G198" s="18" t="s">
        <v>833</v>
      </c>
      <c r="H198" s="20" t="s">
        <v>17</v>
      </c>
      <c r="I198" s="29" t="str">
        <f t="shared" si="8"/>
        <v>198</v>
      </c>
      <c r="J198" s="43" t="s">
        <v>831</v>
      </c>
      <c r="K198" s="7">
        <f t="shared" si="7"/>
        <v>408</v>
      </c>
      <c r="L198" s="28" t="s">
        <v>834</v>
      </c>
      <c r="M198" s="2"/>
    </row>
    <row r="199" ht="20.25" spans="1:13">
      <c r="A199" s="15"/>
      <c r="B199" s="45"/>
      <c r="C199" s="16"/>
      <c r="D199" s="43" t="s">
        <v>835</v>
      </c>
      <c r="E199" s="18" t="s">
        <v>836</v>
      </c>
      <c r="F199" s="19">
        <v>4</v>
      </c>
      <c r="G199" s="18" t="s">
        <v>837</v>
      </c>
      <c r="H199" s="20" t="s">
        <v>17</v>
      </c>
      <c r="I199" s="29" t="str">
        <f t="shared" si="8"/>
        <v>199</v>
      </c>
      <c r="J199" s="43" t="s">
        <v>835</v>
      </c>
      <c r="K199" s="7">
        <f t="shared" si="7"/>
        <v>409</v>
      </c>
      <c r="L199" s="28" t="s">
        <v>19</v>
      </c>
      <c r="M199" s="2"/>
    </row>
    <row r="200" ht="20.25" spans="1:13">
      <c r="A200" s="15"/>
      <c r="B200" s="45"/>
      <c r="C200" s="16"/>
      <c r="D200" s="43" t="s">
        <v>838</v>
      </c>
      <c r="E200" s="18" t="s">
        <v>839</v>
      </c>
      <c r="F200" s="19">
        <v>4</v>
      </c>
      <c r="G200" s="18" t="s">
        <v>840</v>
      </c>
      <c r="H200" s="20" t="s">
        <v>17</v>
      </c>
      <c r="I200" s="29" t="str">
        <f t="shared" si="8"/>
        <v>19D</v>
      </c>
      <c r="J200" s="43" t="s">
        <v>838</v>
      </c>
      <c r="K200" s="7">
        <f t="shared" si="7"/>
        <v>413</v>
      </c>
      <c r="L200" s="28" t="s">
        <v>19</v>
      </c>
      <c r="M200" s="2"/>
    </row>
    <row r="201" ht="20.25" spans="1:13">
      <c r="A201" s="15"/>
      <c r="B201" s="45"/>
      <c r="C201" s="16"/>
      <c r="D201" s="43" t="s">
        <v>841</v>
      </c>
      <c r="E201" s="18" t="s">
        <v>842</v>
      </c>
      <c r="F201" s="19">
        <v>4</v>
      </c>
      <c r="G201" s="18" t="s">
        <v>843</v>
      </c>
      <c r="H201" s="20" t="s">
        <v>17</v>
      </c>
      <c r="I201" s="29" t="str">
        <f t="shared" si="8"/>
        <v>1A1</v>
      </c>
      <c r="J201" s="43" t="s">
        <v>841</v>
      </c>
      <c r="K201" s="7">
        <f t="shared" si="7"/>
        <v>417</v>
      </c>
      <c r="L201" s="28" t="s">
        <v>19</v>
      </c>
      <c r="M201" s="2"/>
    </row>
    <row r="202" ht="20.25" spans="1:13">
      <c r="A202" s="15"/>
      <c r="B202" s="45"/>
      <c r="C202" s="16"/>
      <c r="D202" s="43" t="s">
        <v>844</v>
      </c>
      <c r="E202" s="18" t="s">
        <v>717</v>
      </c>
      <c r="F202" s="19">
        <v>4</v>
      </c>
      <c r="G202" s="18" t="s">
        <v>845</v>
      </c>
      <c r="H202" s="20" t="s">
        <v>17</v>
      </c>
      <c r="I202" s="29" t="str">
        <f t="shared" si="8"/>
        <v>1A5</v>
      </c>
      <c r="J202" s="43" t="s">
        <v>844</v>
      </c>
      <c r="K202" s="7">
        <f t="shared" si="7"/>
        <v>421</v>
      </c>
      <c r="L202" s="28" t="s">
        <v>19</v>
      </c>
      <c r="M202" s="2"/>
    </row>
    <row r="203" ht="20.25" spans="1:13">
      <c r="A203" s="15"/>
      <c r="B203" s="45"/>
      <c r="C203" s="16"/>
      <c r="D203" s="43" t="s">
        <v>846</v>
      </c>
      <c r="E203" s="18" t="s">
        <v>717</v>
      </c>
      <c r="F203" s="19">
        <v>4</v>
      </c>
      <c r="G203" s="18" t="s">
        <v>847</v>
      </c>
      <c r="H203" s="20" t="s">
        <v>17</v>
      </c>
      <c r="I203" s="29" t="str">
        <f t="shared" si="8"/>
        <v>1A9</v>
      </c>
      <c r="J203" s="43" t="s">
        <v>846</v>
      </c>
      <c r="K203" s="7">
        <f t="shared" si="7"/>
        <v>425</v>
      </c>
      <c r="L203" s="28" t="s">
        <v>19</v>
      </c>
      <c r="M203" s="2"/>
    </row>
    <row r="204" ht="20.25" spans="1:13">
      <c r="A204" s="15"/>
      <c r="B204" s="45"/>
      <c r="C204" s="16"/>
      <c r="D204" s="43" t="s">
        <v>848</v>
      </c>
      <c r="E204" s="18" t="s">
        <v>717</v>
      </c>
      <c r="F204" s="19">
        <v>4</v>
      </c>
      <c r="G204" s="18" t="s">
        <v>849</v>
      </c>
      <c r="H204" s="20" t="s">
        <v>17</v>
      </c>
      <c r="I204" s="29" t="str">
        <f t="shared" si="8"/>
        <v>1AD</v>
      </c>
      <c r="J204" s="43" t="s">
        <v>848</v>
      </c>
      <c r="K204" s="7">
        <f t="shared" si="7"/>
        <v>429</v>
      </c>
      <c r="L204" s="28" t="s">
        <v>19</v>
      </c>
      <c r="M204" s="2"/>
    </row>
    <row r="205" ht="20.25" spans="1:13">
      <c r="A205" s="15"/>
      <c r="B205" s="45"/>
      <c r="C205" s="16"/>
      <c r="D205" s="43" t="s">
        <v>850</v>
      </c>
      <c r="E205" s="18" t="s">
        <v>717</v>
      </c>
      <c r="F205" s="19">
        <v>4</v>
      </c>
      <c r="G205" s="18" t="s">
        <v>851</v>
      </c>
      <c r="H205" s="20" t="s">
        <v>17</v>
      </c>
      <c r="I205" s="29" t="str">
        <f t="shared" si="8"/>
        <v>1B1</v>
      </c>
      <c r="J205" s="43" t="s">
        <v>850</v>
      </c>
      <c r="K205" s="7">
        <f t="shared" si="7"/>
        <v>433</v>
      </c>
      <c r="L205" s="28" t="s">
        <v>19</v>
      </c>
      <c r="M205" s="2"/>
    </row>
    <row r="206" ht="20.25" spans="1:13">
      <c r="A206" s="15"/>
      <c r="B206" s="45"/>
      <c r="C206" s="16"/>
      <c r="D206" s="43" t="s">
        <v>852</v>
      </c>
      <c r="E206" s="18" t="s">
        <v>717</v>
      </c>
      <c r="F206" s="19">
        <v>4</v>
      </c>
      <c r="G206" s="18" t="s">
        <v>853</v>
      </c>
      <c r="H206" s="20" t="s">
        <v>17</v>
      </c>
      <c r="I206" s="29" t="str">
        <f t="shared" si="8"/>
        <v>1B5</v>
      </c>
      <c r="J206" s="43" t="s">
        <v>852</v>
      </c>
      <c r="K206" s="7">
        <f t="shared" si="7"/>
        <v>437</v>
      </c>
      <c r="L206" s="28" t="s">
        <v>19</v>
      </c>
      <c r="M206" s="2"/>
    </row>
    <row r="207" ht="20.25" spans="1:13">
      <c r="A207" s="15"/>
      <c r="B207" s="45"/>
      <c r="C207" s="16"/>
      <c r="D207" s="43" t="s">
        <v>854</v>
      </c>
      <c r="E207" s="18" t="s">
        <v>713</v>
      </c>
      <c r="F207" s="19">
        <v>4</v>
      </c>
      <c r="G207" s="18" t="s">
        <v>855</v>
      </c>
      <c r="H207" s="20" t="s">
        <v>17</v>
      </c>
      <c r="I207" s="29" t="str">
        <f t="shared" si="8"/>
        <v>1B9</v>
      </c>
      <c r="J207" s="43" t="s">
        <v>854</v>
      </c>
      <c r="K207" s="7">
        <f t="shared" si="7"/>
        <v>441</v>
      </c>
      <c r="L207" s="28" t="s">
        <v>715</v>
      </c>
      <c r="M207" s="2"/>
    </row>
    <row r="208" ht="20.25" spans="1:13">
      <c r="A208" s="15"/>
      <c r="B208" s="45"/>
      <c r="C208" s="16"/>
      <c r="D208" s="43" t="s">
        <v>856</v>
      </c>
      <c r="E208" s="18" t="s">
        <v>857</v>
      </c>
      <c r="F208" s="19">
        <v>4</v>
      </c>
      <c r="G208" s="18" t="s">
        <v>858</v>
      </c>
      <c r="H208" s="20" t="s">
        <v>17</v>
      </c>
      <c r="I208" s="29" t="str">
        <f t="shared" si="8"/>
        <v>1BD</v>
      </c>
      <c r="J208" s="43" t="s">
        <v>856</v>
      </c>
      <c r="K208" s="7">
        <f t="shared" si="7"/>
        <v>445</v>
      </c>
      <c r="L208" s="28" t="s">
        <v>715</v>
      </c>
      <c r="M208" s="2"/>
    </row>
    <row r="209" ht="20.25" spans="1:13">
      <c r="A209" s="15"/>
      <c r="B209" s="45"/>
      <c r="C209" s="16"/>
      <c r="D209" s="43" t="s">
        <v>859</v>
      </c>
      <c r="E209" s="18" t="s">
        <v>713</v>
      </c>
      <c r="F209" s="19">
        <v>4</v>
      </c>
      <c r="G209" s="18" t="s">
        <v>860</v>
      </c>
      <c r="H209" s="20" t="s">
        <v>17</v>
      </c>
      <c r="I209" s="29" t="str">
        <f t="shared" si="8"/>
        <v>1C1</v>
      </c>
      <c r="J209" s="43" t="s">
        <v>859</v>
      </c>
      <c r="K209" s="7">
        <f t="shared" si="7"/>
        <v>449</v>
      </c>
      <c r="L209" s="28" t="s">
        <v>715</v>
      </c>
      <c r="M209" s="2"/>
    </row>
    <row r="210" ht="20.25" spans="1:13">
      <c r="A210" s="15"/>
      <c r="B210" s="45"/>
      <c r="C210" s="16"/>
      <c r="D210" s="43" t="s">
        <v>861</v>
      </c>
      <c r="E210" s="18" t="s">
        <v>713</v>
      </c>
      <c r="F210" s="19">
        <v>4</v>
      </c>
      <c r="G210" s="18" t="s">
        <v>862</v>
      </c>
      <c r="H210" s="20" t="s">
        <v>17</v>
      </c>
      <c r="I210" s="29" t="str">
        <f t="shared" si="8"/>
        <v>1C5</v>
      </c>
      <c r="J210" s="43" t="s">
        <v>861</v>
      </c>
      <c r="K210" s="7">
        <f t="shared" si="7"/>
        <v>453</v>
      </c>
      <c r="L210" s="28" t="s">
        <v>715</v>
      </c>
      <c r="M210" s="2"/>
    </row>
    <row r="211" ht="20.25" spans="1:13">
      <c r="A211" s="15"/>
      <c r="B211" s="45"/>
      <c r="C211" s="16"/>
      <c r="D211" s="43" t="s">
        <v>863</v>
      </c>
      <c r="E211" s="18" t="s">
        <v>864</v>
      </c>
      <c r="F211" s="19">
        <v>8</v>
      </c>
      <c r="G211" s="18" t="s">
        <v>865</v>
      </c>
      <c r="H211" s="20" t="s">
        <v>17</v>
      </c>
      <c r="I211" s="29" t="str">
        <f t="shared" si="8"/>
        <v>1C9</v>
      </c>
      <c r="J211" s="43" t="s">
        <v>863</v>
      </c>
      <c r="K211" s="7">
        <f t="shared" si="7"/>
        <v>457</v>
      </c>
      <c r="L211" s="28" t="s">
        <v>19</v>
      </c>
      <c r="M211" s="2"/>
    </row>
    <row r="212" ht="20.25" spans="1:13">
      <c r="A212" s="15"/>
      <c r="B212" s="45"/>
      <c r="C212" s="16"/>
      <c r="D212" s="53" t="s">
        <v>866</v>
      </c>
      <c r="E212" s="54" t="s">
        <v>867</v>
      </c>
      <c r="F212" s="55">
        <v>1</v>
      </c>
      <c r="G212" s="54" t="s">
        <v>868</v>
      </c>
      <c r="H212" s="56" t="s">
        <v>17</v>
      </c>
      <c r="I212" s="67" t="str">
        <f t="shared" si="8"/>
        <v>1D1</v>
      </c>
      <c r="J212" s="53" t="s">
        <v>866</v>
      </c>
      <c r="K212" s="68">
        <f t="shared" si="7"/>
        <v>465</v>
      </c>
      <c r="L212" s="69" t="s">
        <v>869</v>
      </c>
      <c r="M212" s="2"/>
    </row>
    <row r="213" ht="20.25" spans="1:13">
      <c r="A213" s="15"/>
      <c r="B213" s="45"/>
      <c r="C213" s="16"/>
      <c r="D213" s="53" t="s">
        <v>870</v>
      </c>
      <c r="E213" s="54" t="s">
        <v>871</v>
      </c>
      <c r="F213" s="55">
        <v>1</v>
      </c>
      <c r="G213" s="54" t="s">
        <v>872</v>
      </c>
      <c r="H213" s="56"/>
      <c r="I213" s="67" t="str">
        <f t="shared" si="8"/>
        <v>1D1</v>
      </c>
      <c r="J213" s="53" t="s">
        <v>870</v>
      </c>
      <c r="K213" s="68">
        <f>F211+K211</f>
        <v>465</v>
      </c>
      <c r="L213" s="69" t="s">
        <v>873</v>
      </c>
      <c r="M213" s="2"/>
    </row>
    <row r="214" ht="20.25" spans="1:13">
      <c r="A214" s="15"/>
      <c r="B214" s="45"/>
      <c r="C214" s="16"/>
      <c r="D214" s="53" t="s">
        <v>874</v>
      </c>
      <c r="E214" s="54" t="s">
        <v>875</v>
      </c>
      <c r="F214" s="55">
        <v>1</v>
      </c>
      <c r="G214" s="54" t="s">
        <v>876</v>
      </c>
      <c r="H214" s="56"/>
      <c r="I214" s="67" t="str">
        <f t="shared" si="8"/>
        <v>1D1</v>
      </c>
      <c r="J214" s="53" t="s">
        <v>874</v>
      </c>
      <c r="K214" s="68">
        <f>F211+K211</f>
        <v>465</v>
      </c>
      <c r="L214" s="69" t="s">
        <v>877</v>
      </c>
      <c r="M214" s="2"/>
    </row>
    <row r="215" ht="20.25" spans="1:13">
      <c r="A215" s="15"/>
      <c r="B215" s="45"/>
      <c r="C215" s="16"/>
      <c r="D215" s="53" t="s">
        <v>878</v>
      </c>
      <c r="E215" s="54" t="s">
        <v>879</v>
      </c>
      <c r="F215" s="55">
        <v>1</v>
      </c>
      <c r="G215" s="54" t="s">
        <v>880</v>
      </c>
      <c r="H215" s="56" t="s">
        <v>17</v>
      </c>
      <c r="I215" s="67" t="str">
        <f t="shared" si="8"/>
        <v>1D1</v>
      </c>
      <c r="J215" s="53" t="s">
        <v>878</v>
      </c>
      <c r="K215" s="68">
        <f>F211+K211</f>
        <v>465</v>
      </c>
      <c r="L215" s="69" t="s">
        <v>881</v>
      </c>
      <c r="M215" s="2"/>
    </row>
    <row r="216" ht="20.25" spans="1:13">
      <c r="A216" s="15"/>
      <c r="B216" s="45"/>
      <c r="C216" s="16"/>
      <c r="D216" s="43" t="s">
        <v>882</v>
      </c>
      <c r="E216" s="18" t="s">
        <v>883</v>
      </c>
      <c r="F216" s="19">
        <v>1</v>
      </c>
      <c r="G216" s="18" t="s">
        <v>884</v>
      </c>
      <c r="H216" s="20" t="s">
        <v>17</v>
      </c>
      <c r="I216" s="29" t="str">
        <f t="shared" si="8"/>
        <v>1D2</v>
      </c>
      <c r="J216" s="43" t="s">
        <v>882</v>
      </c>
      <c r="K216" s="7">
        <f t="shared" ref="K216:K224" si="9">F215+K215</f>
        <v>466</v>
      </c>
      <c r="L216" s="28" t="s">
        <v>885</v>
      </c>
      <c r="M216" s="2"/>
    </row>
    <row r="217" ht="20.25" spans="1:13">
      <c r="A217" s="15"/>
      <c r="B217" s="45"/>
      <c r="C217" s="16"/>
      <c r="D217" s="43" t="s">
        <v>886</v>
      </c>
      <c r="E217" s="18" t="s">
        <v>887</v>
      </c>
      <c r="F217" s="19">
        <v>4</v>
      </c>
      <c r="G217" s="18" t="s">
        <v>888</v>
      </c>
      <c r="H217" s="20" t="s">
        <v>17</v>
      </c>
      <c r="I217" s="29" t="str">
        <f t="shared" si="8"/>
        <v>1D3</v>
      </c>
      <c r="J217" s="57"/>
      <c r="K217" s="7">
        <f t="shared" si="9"/>
        <v>467</v>
      </c>
      <c r="L217" s="28" t="s">
        <v>19</v>
      </c>
      <c r="M217" s="2"/>
    </row>
    <row r="218" ht="20.25" spans="1:13">
      <c r="A218" s="15"/>
      <c r="B218" s="45"/>
      <c r="C218" s="16"/>
      <c r="D218" s="43" t="s">
        <v>889</v>
      </c>
      <c r="E218" s="18" t="s">
        <v>890</v>
      </c>
      <c r="F218" s="19">
        <v>4</v>
      </c>
      <c r="G218" s="18" t="s">
        <v>891</v>
      </c>
      <c r="H218" s="20" t="s">
        <v>17</v>
      </c>
      <c r="I218" s="29" t="str">
        <f t="shared" si="8"/>
        <v>1D7</v>
      </c>
      <c r="J218" s="57"/>
      <c r="K218" s="7">
        <f t="shared" si="9"/>
        <v>471</v>
      </c>
      <c r="L218" s="28" t="s">
        <v>19</v>
      </c>
      <c r="M218" s="2"/>
    </row>
    <row r="219" ht="20.25" spans="1:13">
      <c r="A219" s="15"/>
      <c r="B219" s="45"/>
      <c r="C219" s="16"/>
      <c r="D219" s="43" t="s">
        <v>892</v>
      </c>
      <c r="E219" s="18" t="s">
        <v>893</v>
      </c>
      <c r="F219" s="19">
        <v>1</v>
      </c>
      <c r="G219" s="18" t="s">
        <v>894</v>
      </c>
      <c r="H219" s="20"/>
      <c r="I219" s="29" t="str">
        <f t="shared" si="8"/>
        <v>1DB</v>
      </c>
      <c r="J219" s="57" t="s">
        <v>895</v>
      </c>
      <c r="K219" s="7">
        <f t="shared" si="9"/>
        <v>475</v>
      </c>
      <c r="L219" s="28" t="s">
        <v>896</v>
      </c>
      <c r="M219" s="2"/>
    </row>
    <row r="220" ht="20.25" spans="1:13">
      <c r="A220" s="15"/>
      <c r="B220" s="45"/>
      <c r="C220" s="16"/>
      <c r="D220" s="43" t="s">
        <v>897</v>
      </c>
      <c r="E220" s="18" t="s">
        <v>898</v>
      </c>
      <c r="F220" s="19">
        <v>1</v>
      </c>
      <c r="G220" s="18" t="s">
        <v>899</v>
      </c>
      <c r="H220" s="20"/>
      <c r="I220" s="29" t="str">
        <f t="shared" si="8"/>
        <v>1DC</v>
      </c>
      <c r="J220" s="57" t="s">
        <v>900</v>
      </c>
      <c r="K220" s="7">
        <f t="shared" si="9"/>
        <v>476</v>
      </c>
      <c r="L220" s="28" t="s">
        <v>901</v>
      </c>
      <c r="M220" s="2"/>
    </row>
    <row r="221" ht="20.25" spans="1:13">
      <c r="A221" s="15"/>
      <c r="B221" s="45"/>
      <c r="C221" s="16"/>
      <c r="D221" s="43" t="s">
        <v>902</v>
      </c>
      <c r="E221" s="18" t="s">
        <v>903</v>
      </c>
      <c r="F221" s="19">
        <v>1</v>
      </c>
      <c r="G221" s="18" t="s">
        <v>904</v>
      </c>
      <c r="H221" s="20"/>
      <c r="I221" s="29" t="str">
        <f t="shared" si="8"/>
        <v>1DD</v>
      </c>
      <c r="J221" s="57" t="s">
        <v>905</v>
      </c>
      <c r="K221" s="7">
        <f t="shared" si="9"/>
        <v>477</v>
      </c>
      <c r="L221" s="28" t="s">
        <v>906</v>
      </c>
      <c r="M221" s="2"/>
    </row>
    <row r="222" ht="20.25" spans="1:13">
      <c r="A222" s="15"/>
      <c r="B222" s="45"/>
      <c r="C222" s="16"/>
      <c r="D222" s="43" t="s">
        <v>907</v>
      </c>
      <c r="E222" s="18" t="s">
        <v>908</v>
      </c>
      <c r="F222" s="19">
        <v>1</v>
      </c>
      <c r="G222" s="18" t="s">
        <v>909</v>
      </c>
      <c r="H222" s="20"/>
      <c r="I222" s="29" t="str">
        <f t="shared" si="8"/>
        <v>1DE</v>
      </c>
      <c r="J222" s="57" t="s">
        <v>907</v>
      </c>
      <c r="K222" s="7">
        <f t="shared" si="9"/>
        <v>478</v>
      </c>
      <c r="L222" s="28" t="s">
        <v>19</v>
      </c>
      <c r="M222" s="2"/>
    </row>
    <row r="223" ht="20.25" spans="1:13">
      <c r="A223" s="15"/>
      <c r="B223" s="45"/>
      <c r="C223" s="16"/>
      <c r="D223" s="43" t="s">
        <v>910</v>
      </c>
      <c r="E223" s="18" t="s">
        <v>911</v>
      </c>
      <c r="F223" s="19">
        <v>1</v>
      </c>
      <c r="G223" s="18" t="s">
        <v>912</v>
      </c>
      <c r="H223" s="20"/>
      <c r="I223" s="29" t="str">
        <f t="shared" si="8"/>
        <v>1DF</v>
      </c>
      <c r="J223" s="57" t="s">
        <v>910</v>
      </c>
      <c r="K223" s="7">
        <f t="shared" si="9"/>
        <v>479</v>
      </c>
      <c r="L223" s="28" t="s">
        <v>19</v>
      </c>
      <c r="M223" s="2"/>
    </row>
    <row r="224" ht="20.25" spans="1:13">
      <c r="A224" s="15"/>
      <c r="B224" s="45"/>
      <c r="C224" s="16"/>
      <c r="D224" s="43" t="s">
        <v>913</v>
      </c>
      <c r="E224" s="18" t="s">
        <v>914</v>
      </c>
      <c r="F224" s="19">
        <v>1</v>
      </c>
      <c r="G224" s="18" t="s">
        <v>915</v>
      </c>
      <c r="H224" s="20"/>
      <c r="I224" s="29" t="str">
        <f t="shared" si="8"/>
        <v>1E0</v>
      </c>
      <c r="J224" s="57" t="s">
        <v>913</v>
      </c>
      <c r="K224" s="7">
        <f t="shared" si="9"/>
        <v>480</v>
      </c>
      <c r="L224" s="28" t="s">
        <v>19</v>
      </c>
      <c r="M224" s="2"/>
    </row>
    <row r="225" ht="20.25" spans="1:13">
      <c r="A225" s="15"/>
      <c r="B225" s="45"/>
      <c r="C225" s="16"/>
      <c r="D225" s="44" t="s">
        <v>217</v>
      </c>
      <c r="E225" s="22" t="s">
        <v>217</v>
      </c>
      <c r="F225" s="23">
        <v>34</v>
      </c>
      <c r="G225" s="22" t="s">
        <v>217</v>
      </c>
      <c r="H225" s="24" t="s">
        <v>17</v>
      </c>
      <c r="I225" s="29" t="str">
        <f t="shared" si="8"/>
        <v>1DE</v>
      </c>
      <c r="J225" s="33"/>
      <c r="K225" s="7">
        <f>F221+K221</f>
        <v>478</v>
      </c>
      <c r="L225" s="28"/>
      <c r="M225" s="2"/>
    </row>
    <row r="226" ht="20.25" spans="1:13">
      <c r="A226" s="15"/>
      <c r="B226" s="45"/>
      <c r="C226" s="16"/>
      <c r="D226" s="57" t="s">
        <v>916</v>
      </c>
      <c r="E226" s="57"/>
      <c r="F226" s="57"/>
      <c r="G226" s="57"/>
      <c r="H226" s="57"/>
      <c r="I226" s="57"/>
      <c r="J226" s="57"/>
      <c r="K226" s="7">
        <f>SUM(F225,K225)</f>
        <v>512</v>
      </c>
      <c r="L226" s="28"/>
      <c r="M226" s="2"/>
    </row>
    <row r="227" ht="16.5" spans="13:13">
      <c r="M227" s="52"/>
    </row>
    <row r="228" spans="2:7">
      <c r="B228" s="58" t="s">
        <v>917</v>
      </c>
      <c r="C228" s="59"/>
      <c r="D228" s="59"/>
      <c r="E228" s="59"/>
      <c r="F228" s="59"/>
      <c r="G228" s="60"/>
    </row>
    <row r="229" spans="2:7">
      <c r="B229" s="61"/>
      <c r="C229" s="62"/>
      <c r="D229" s="62"/>
      <c r="E229" s="62"/>
      <c r="F229" s="62"/>
      <c r="G229" s="63"/>
    </row>
    <row r="230" spans="2:7">
      <c r="B230" s="61"/>
      <c r="C230" s="62"/>
      <c r="D230" s="62"/>
      <c r="E230" s="62"/>
      <c r="F230" s="62"/>
      <c r="G230" s="63"/>
    </row>
    <row r="231" spans="2:7">
      <c r="B231" s="61"/>
      <c r="C231" s="62"/>
      <c r="D231" s="62"/>
      <c r="E231" s="62"/>
      <c r="F231" s="62"/>
      <c r="G231" s="63"/>
    </row>
    <row r="232" spans="2:7">
      <c r="B232" s="61"/>
      <c r="C232" s="62"/>
      <c r="D232" s="62"/>
      <c r="E232" s="62"/>
      <c r="F232" s="62"/>
      <c r="G232" s="63"/>
    </row>
    <row r="233" spans="2:7">
      <c r="B233" s="61"/>
      <c r="C233" s="62"/>
      <c r="D233" s="62"/>
      <c r="E233" s="62"/>
      <c r="F233" s="62"/>
      <c r="G233" s="63"/>
    </row>
    <row r="234" spans="2:7">
      <c r="B234" s="61"/>
      <c r="C234" s="62"/>
      <c r="D234" s="62"/>
      <c r="E234" s="62"/>
      <c r="F234" s="62"/>
      <c r="G234" s="63"/>
    </row>
    <row r="235" spans="2:7">
      <c r="B235" s="61"/>
      <c r="C235" s="62"/>
      <c r="D235" s="62"/>
      <c r="E235" s="62"/>
      <c r="F235" s="62"/>
      <c r="G235" s="63"/>
    </row>
    <row r="236" spans="2:7">
      <c r="B236" s="61"/>
      <c r="C236" s="62"/>
      <c r="D236" s="62"/>
      <c r="E236" s="62"/>
      <c r="F236" s="62"/>
      <c r="G236" s="63"/>
    </row>
    <row r="237" spans="2:7">
      <c r="B237" s="61"/>
      <c r="C237" s="62"/>
      <c r="D237" s="62"/>
      <c r="E237" s="62"/>
      <c r="F237" s="62"/>
      <c r="G237" s="63"/>
    </row>
    <row r="238" spans="2:7">
      <c r="B238" s="64"/>
      <c r="C238" s="65"/>
      <c r="D238" s="65"/>
      <c r="E238" s="65"/>
      <c r="F238" s="65"/>
      <c r="G238" s="66"/>
    </row>
    <row r="239" ht="33" customHeight="1" spans="4:11">
      <c r="D239" s="3" t="s">
        <v>918</v>
      </c>
      <c r="F239" s="3">
        <v>512</v>
      </c>
      <c r="H239" s="20" t="s">
        <v>17</v>
      </c>
      <c r="I239" s="3">
        <v>200</v>
      </c>
      <c r="K239" s="7">
        <v>512</v>
      </c>
    </row>
    <row r="240" ht="33" customHeight="1" spans="4:12">
      <c r="D240" s="3" t="s">
        <v>919</v>
      </c>
      <c r="E240" s="3" t="s">
        <v>920</v>
      </c>
      <c r="F240" s="3">
        <v>1</v>
      </c>
      <c r="G240" s="3" t="s">
        <v>921</v>
      </c>
      <c r="H240" s="20" t="s">
        <v>17</v>
      </c>
      <c r="I240" s="3">
        <v>400</v>
      </c>
      <c r="K240" s="7">
        <f>F239+K239</f>
        <v>1024</v>
      </c>
      <c r="L240" s="5" t="s">
        <v>922</v>
      </c>
    </row>
    <row r="241" ht="33" customHeight="1" spans="4:11">
      <c r="D241" s="3" t="s">
        <v>923</v>
      </c>
      <c r="E241" s="3" t="s">
        <v>924</v>
      </c>
      <c r="F241" s="3">
        <v>16</v>
      </c>
      <c r="G241" s="3" t="s">
        <v>925</v>
      </c>
      <c r="H241" s="20" t="s">
        <v>17</v>
      </c>
      <c r="I241" s="3">
        <v>401</v>
      </c>
      <c r="K241" s="7">
        <f>F240+K240</f>
        <v>1025</v>
      </c>
    </row>
    <row r="242" ht="33" customHeight="1"/>
    <row r="243" ht="33" customHeight="1"/>
    <row r="244" ht="33" customHeight="1"/>
  </sheetData>
  <autoFilter xmlns:etc="http://www.wps.cn/officeDocument/2017/etCustomData" ref="A1:M226" etc:filterBottomFollowUsedRange="0">
    <extLst/>
  </autoFilter>
  <mergeCells count="22">
    <mergeCell ref="A1:L1"/>
    <mergeCell ref="D226:J226"/>
    <mergeCell ref="A3:A146"/>
    <mergeCell ref="A147:A226"/>
    <mergeCell ref="B3:B51"/>
    <mergeCell ref="B52:B89"/>
    <mergeCell ref="B90:B125"/>
    <mergeCell ref="B126:B140"/>
    <mergeCell ref="B141:B146"/>
    <mergeCell ref="B147:B164"/>
    <mergeCell ref="B165:B226"/>
    <mergeCell ref="C3:C51"/>
    <mergeCell ref="C52:C89"/>
    <mergeCell ref="C90:C125"/>
    <mergeCell ref="C126:C140"/>
    <mergeCell ref="C141:C146"/>
    <mergeCell ref="C147:C164"/>
    <mergeCell ref="C165:C226"/>
    <mergeCell ref="M107:M110"/>
    <mergeCell ref="M165:M166"/>
    <mergeCell ref="M167:M168"/>
    <mergeCell ref="B228:G23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3" sqref="B43"/>
    </sheetView>
  </sheetViews>
  <sheetFormatPr defaultColWidth="9" defaultRowHeight="13.5"/>
  <sheetData/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LibreOffice/7.6.0.3$Windows_X86_64 LibreOffice_project/69edd8b8ebc41d00b4de3915dc82f8f0fc3b6265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0-512字节</vt:lpstr>
      <vt:lpstr>512字节以后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revision>5</cp:revision>
  <dcterms:created xsi:type="dcterms:W3CDTF">2023-05-12T11:15:00Z</dcterms:created>
  <dcterms:modified xsi:type="dcterms:W3CDTF">2026-01-20T00:12:38Z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